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ude\TradingKnowledgeBase\raw\trades\"/>
    </mc:Choice>
  </mc:AlternateContent>
  <xr:revisionPtr revIDLastSave="0" documentId="13_ncr:1_{34B4C68B-FEA5-468C-A3F0-62B8CF36C9E2}" xr6:coauthVersionLast="47" xr6:coauthVersionMax="47" xr10:uidLastSave="{00000000-0000-0000-0000-000000000000}"/>
  <bookViews>
    <workbookView xWindow="2550" yWindow="-18660" windowWidth="17180" windowHeight="15170" tabRatio="500" xr2:uid="{00000000-000D-0000-FFFF-FFFF00000000}"/>
  </bookViews>
  <sheets>
    <sheet name="Trade Log" sheetId="1" r:id="rId1"/>
    <sheet name="Stats 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2" l="1"/>
  <c r="E10" i="2"/>
  <c r="B4" i="2"/>
  <c r="H12" i="2" s="1"/>
  <c r="L106" i="1"/>
  <c r="K106" i="1"/>
  <c r="M106" i="1" s="1"/>
  <c r="J106" i="1"/>
  <c r="L105" i="1"/>
  <c r="K105" i="1"/>
  <c r="M105" i="1" s="1"/>
  <c r="J105" i="1"/>
  <c r="L104" i="1"/>
  <c r="K104" i="1"/>
  <c r="M104" i="1" s="1"/>
  <c r="J104" i="1"/>
  <c r="L103" i="1"/>
  <c r="K103" i="1"/>
  <c r="M103" i="1" s="1"/>
  <c r="J103" i="1"/>
  <c r="L102" i="1"/>
  <c r="E9" i="2" s="1"/>
  <c r="K102" i="1"/>
  <c r="M102" i="1" s="1"/>
  <c r="J102" i="1"/>
  <c r="L101" i="1"/>
  <c r="K101" i="1"/>
  <c r="M101" i="1" s="1"/>
  <c r="J101" i="1"/>
  <c r="L100" i="1"/>
  <c r="K100" i="1"/>
  <c r="M100" i="1" s="1"/>
  <c r="J100" i="1"/>
  <c r="L99" i="1"/>
  <c r="K99" i="1"/>
  <c r="M99" i="1" s="1"/>
  <c r="J99" i="1"/>
  <c r="L98" i="1"/>
  <c r="K98" i="1"/>
  <c r="M98" i="1" s="1"/>
  <c r="J98" i="1"/>
  <c r="L97" i="1"/>
  <c r="K97" i="1"/>
  <c r="M97" i="1" s="1"/>
  <c r="J97" i="1"/>
  <c r="L96" i="1"/>
  <c r="K96" i="1"/>
  <c r="M96" i="1" s="1"/>
  <c r="J96" i="1"/>
  <c r="L95" i="1"/>
  <c r="K95" i="1"/>
  <c r="M95" i="1" s="1"/>
  <c r="J95" i="1"/>
  <c r="L94" i="1"/>
  <c r="K94" i="1"/>
  <c r="M94" i="1" s="1"/>
  <c r="J94" i="1"/>
  <c r="L93" i="1"/>
  <c r="K93" i="1"/>
  <c r="M93" i="1" s="1"/>
  <c r="J93" i="1"/>
  <c r="L92" i="1"/>
  <c r="K92" i="1"/>
  <c r="M92" i="1" s="1"/>
  <c r="J92" i="1"/>
  <c r="L91" i="1"/>
  <c r="K91" i="1"/>
  <c r="M91" i="1" s="1"/>
  <c r="J91" i="1"/>
  <c r="L90" i="1"/>
  <c r="K90" i="1"/>
  <c r="M90" i="1" s="1"/>
  <c r="J90" i="1"/>
  <c r="L89" i="1"/>
  <c r="K89" i="1"/>
  <c r="M89" i="1" s="1"/>
  <c r="J89" i="1"/>
  <c r="L88" i="1"/>
  <c r="K88" i="1"/>
  <c r="M88" i="1" s="1"/>
  <c r="J88" i="1"/>
  <c r="L87" i="1"/>
  <c r="K87" i="1"/>
  <c r="M87" i="1" s="1"/>
  <c r="J87" i="1"/>
  <c r="L86" i="1"/>
  <c r="K86" i="1"/>
  <c r="M86" i="1" s="1"/>
  <c r="J86" i="1"/>
  <c r="L85" i="1"/>
  <c r="K85" i="1"/>
  <c r="M85" i="1" s="1"/>
  <c r="J85" i="1"/>
  <c r="L84" i="1"/>
  <c r="K84" i="1"/>
  <c r="M84" i="1" s="1"/>
  <c r="J84" i="1"/>
  <c r="L83" i="1"/>
  <c r="K83" i="1"/>
  <c r="M83" i="1" s="1"/>
  <c r="J83" i="1"/>
  <c r="L82" i="1"/>
  <c r="K82" i="1"/>
  <c r="M82" i="1" s="1"/>
  <c r="J82" i="1"/>
  <c r="L81" i="1"/>
  <c r="K81" i="1"/>
  <c r="M81" i="1" s="1"/>
  <c r="J81" i="1"/>
  <c r="L80" i="1"/>
  <c r="K80" i="1"/>
  <c r="M80" i="1" s="1"/>
  <c r="J80" i="1"/>
  <c r="L79" i="1"/>
  <c r="K79" i="1"/>
  <c r="M79" i="1" s="1"/>
  <c r="J79" i="1"/>
  <c r="L78" i="1"/>
  <c r="K78" i="1"/>
  <c r="M78" i="1" s="1"/>
  <c r="J78" i="1"/>
  <c r="L77" i="1"/>
  <c r="K77" i="1"/>
  <c r="M77" i="1" s="1"/>
  <c r="J77" i="1"/>
  <c r="L76" i="1"/>
  <c r="K76" i="1"/>
  <c r="M76" i="1" s="1"/>
  <c r="J76" i="1"/>
  <c r="L75" i="1"/>
  <c r="K75" i="1"/>
  <c r="M75" i="1" s="1"/>
  <c r="J75" i="1"/>
  <c r="L74" i="1"/>
  <c r="K74" i="1"/>
  <c r="M74" i="1" s="1"/>
  <c r="J74" i="1"/>
  <c r="L73" i="1"/>
  <c r="K73" i="1"/>
  <c r="M73" i="1" s="1"/>
  <c r="J73" i="1"/>
  <c r="L72" i="1"/>
  <c r="K72" i="1"/>
  <c r="M72" i="1" s="1"/>
  <c r="J72" i="1"/>
  <c r="L71" i="1"/>
  <c r="K71" i="1"/>
  <c r="M71" i="1" s="1"/>
  <c r="J71" i="1"/>
  <c r="L70" i="1"/>
  <c r="K70" i="1"/>
  <c r="M70" i="1" s="1"/>
  <c r="J70" i="1"/>
  <c r="L69" i="1"/>
  <c r="K69" i="1"/>
  <c r="M69" i="1" s="1"/>
  <c r="J69" i="1"/>
  <c r="L68" i="1"/>
  <c r="K68" i="1"/>
  <c r="M68" i="1" s="1"/>
  <c r="J68" i="1"/>
  <c r="L67" i="1"/>
  <c r="K67" i="1"/>
  <c r="M67" i="1" s="1"/>
  <c r="J67" i="1"/>
  <c r="L66" i="1"/>
  <c r="K66" i="1"/>
  <c r="M66" i="1" s="1"/>
  <c r="J66" i="1"/>
  <c r="L65" i="1"/>
  <c r="K65" i="1"/>
  <c r="M65" i="1" s="1"/>
  <c r="J65" i="1"/>
  <c r="L64" i="1"/>
  <c r="K64" i="1"/>
  <c r="M64" i="1" s="1"/>
  <c r="J64" i="1"/>
  <c r="L63" i="1"/>
  <c r="K63" i="1"/>
  <c r="M63" i="1" s="1"/>
  <c r="J63" i="1"/>
  <c r="L62" i="1"/>
  <c r="K62" i="1"/>
  <c r="M62" i="1" s="1"/>
  <c r="J62" i="1"/>
  <c r="L61" i="1"/>
  <c r="K61" i="1"/>
  <c r="M61" i="1" s="1"/>
  <c r="J61" i="1"/>
  <c r="L60" i="1"/>
  <c r="K60" i="1"/>
  <c r="M60" i="1" s="1"/>
  <c r="J60" i="1"/>
  <c r="L59" i="1"/>
  <c r="K59" i="1"/>
  <c r="M59" i="1" s="1"/>
  <c r="J59" i="1"/>
  <c r="L58" i="1"/>
  <c r="K58" i="1"/>
  <c r="M58" i="1" s="1"/>
  <c r="J58" i="1"/>
  <c r="L57" i="1"/>
  <c r="K57" i="1"/>
  <c r="M57" i="1" s="1"/>
  <c r="J57" i="1"/>
  <c r="L56" i="1"/>
  <c r="K56" i="1"/>
  <c r="M56" i="1" s="1"/>
  <c r="J56" i="1"/>
  <c r="L55" i="1"/>
  <c r="K55" i="1"/>
  <c r="M55" i="1" s="1"/>
  <c r="J55" i="1"/>
  <c r="L54" i="1"/>
  <c r="K54" i="1"/>
  <c r="M54" i="1" s="1"/>
  <c r="J54" i="1"/>
  <c r="L53" i="1"/>
  <c r="K53" i="1"/>
  <c r="M53" i="1" s="1"/>
  <c r="J53" i="1"/>
  <c r="L52" i="1"/>
  <c r="K52" i="1"/>
  <c r="M52" i="1" s="1"/>
  <c r="J52" i="1"/>
  <c r="L51" i="1"/>
  <c r="K51" i="1"/>
  <c r="M51" i="1" s="1"/>
  <c r="J51" i="1"/>
  <c r="L50" i="1"/>
  <c r="K50" i="1"/>
  <c r="M50" i="1" s="1"/>
  <c r="J50" i="1"/>
  <c r="L49" i="1"/>
  <c r="K49" i="1"/>
  <c r="M49" i="1" s="1"/>
  <c r="J49" i="1"/>
  <c r="L48" i="1"/>
  <c r="K48" i="1"/>
  <c r="M48" i="1" s="1"/>
  <c r="J48" i="1"/>
  <c r="L47" i="1"/>
  <c r="K47" i="1"/>
  <c r="M47" i="1" s="1"/>
  <c r="J47" i="1"/>
  <c r="L46" i="1"/>
  <c r="K46" i="1"/>
  <c r="M46" i="1" s="1"/>
  <c r="J46" i="1"/>
  <c r="L45" i="1"/>
  <c r="K45" i="1"/>
  <c r="M45" i="1" s="1"/>
  <c r="J45" i="1"/>
  <c r="L44" i="1"/>
  <c r="K44" i="1"/>
  <c r="M44" i="1" s="1"/>
  <c r="J44" i="1"/>
  <c r="L43" i="1"/>
  <c r="K43" i="1"/>
  <c r="M43" i="1" s="1"/>
  <c r="J43" i="1"/>
  <c r="L42" i="1"/>
  <c r="K42" i="1"/>
  <c r="M42" i="1" s="1"/>
  <c r="J42" i="1"/>
  <c r="L41" i="1"/>
  <c r="K41" i="1"/>
  <c r="M41" i="1" s="1"/>
  <c r="J41" i="1"/>
  <c r="L40" i="1"/>
  <c r="K40" i="1"/>
  <c r="M40" i="1" s="1"/>
  <c r="J40" i="1"/>
  <c r="L39" i="1"/>
  <c r="K39" i="1"/>
  <c r="M39" i="1" s="1"/>
  <c r="J39" i="1"/>
  <c r="L38" i="1"/>
  <c r="K38" i="1"/>
  <c r="M38" i="1" s="1"/>
  <c r="J38" i="1"/>
  <c r="L37" i="1"/>
  <c r="K37" i="1"/>
  <c r="M37" i="1" s="1"/>
  <c r="J37" i="1"/>
  <c r="L36" i="1"/>
  <c r="K36" i="1"/>
  <c r="M36" i="1" s="1"/>
  <c r="J36" i="1"/>
  <c r="L35" i="1"/>
  <c r="K35" i="1"/>
  <c r="M35" i="1" s="1"/>
  <c r="J35" i="1"/>
  <c r="L34" i="1"/>
  <c r="K34" i="1"/>
  <c r="M34" i="1" s="1"/>
  <c r="J34" i="1"/>
  <c r="L33" i="1"/>
  <c r="K33" i="1"/>
  <c r="M33" i="1" s="1"/>
  <c r="J33" i="1"/>
  <c r="L32" i="1"/>
  <c r="K32" i="1"/>
  <c r="M32" i="1" s="1"/>
  <c r="J32" i="1"/>
  <c r="L31" i="1"/>
  <c r="K31" i="1"/>
  <c r="M31" i="1" s="1"/>
  <c r="J31" i="1"/>
  <c r="L30" i="1"/>
  <c r="K30" i="1"/>
  <c r="M30" i="1" s="1"/>
  <c r="J30" i="1"/>
  <c r="L29" i="1"/>
  <c r="K29" i="1"/>
  <c r="M29" i="1" s="1"/>
  <c r="J29" i="1"/>
  <c r="L28" i="1"/>
  <c r="K28" i="1"/>
  <c r="M28" i="1" s="1"/>
  <c r="J28" i="1"/>
  <c r="L27" i="1"/>
  <c r="K27" i="1"/>
  <c r="M27" i="1" s="1"/>
  <c r="J27" i="1"/>
  <c r="L26" i="1"/>
  <c r="K26" i="1"/>
  <c r="M26" i="1" s="1"/>
  <c r="J26" i="1"/>
  <c r="L25" i="1"/>
  <c r="K25" i="1"/>
  <c r="M25" i="1" s="1"/>
  <c r="J25" i="1"/>
  <c r="L24" i="1"/>
  <c r="K24" i="1"/>
  <c r="M24" i="1" s="1"/>
  <c r="J24" i="1"/>
  <c r="L23" i="1"/>
  <c r="K23" i="1"/>
  <c r="M23" i="1" s="1"/>
  <c r="J23" i="1"/>
  <c r="L22" i="1"/>
  <c r="K22" i="1"/>
  <c r="M22" i="1" s="1"/>
  <c r="J22" i="1"/>
  <c r="L21" i="1"/>
  <c r="K21" i="1"/>
  <c r="M21" i="1" s="1"/>
  <c r="J21" i="1"/>
  <c r="L20" i="1"/>
  <c r="K20" i="1"/>
  <c r="M20" i="1" s="1"/>
  <c r="J20" i="1"/>
  <c r="L19" i="1"/>
  <c r="K19" i="1"/>
  <c r="M19" i="1" s="1"/>
  <c r="J19" i="1"/>
  <c r="L18" i="1"/>
  <c r="K18" i="1"/>
  <c r="M18" i="1" s="1"/>
  <c r="J18" i="1"/>
  <c r="L17" i="1"/>
  <c r="K17" i="1"/>
  <c r="M17" i="1" s="1"/>
  <c r="J17" i="1"/>
  <c r="L16" i="1"/>
  <c r="K16" i="1"/>
  <c r="M16" i="1" s="1"/>
  <c r="J16" i="1"/>
  <c r="L15" i="1"/>
  <c r="K15" i="1"/>
  <c r="M15" i="1" s="1"/>
  <c r="J15" i="1"/>
  <c r="L14" i="1"/>
  <c r="K14" i="1"/>
  <c r="M14" i="1" s="1"/>
  <c r="J14" i="1"/>
  <c r="L13" i="1"/>
  <c r="K13" i="1"/>
  <c r="M13" i="1" s="1"/>
  <c r="J13" i="1"/>
  <c r="L12" i="1"/>
  <c r="K12" i="1"/>
  <c r="M12" i="1" s="1"/>
  <c r="J12" i="1"/>
  <c r="L11" i="1"/>
  <c r="K11" i="1"/>
  <c r="M11" i="1" s="1"/>
  <c r="J11" i="1"/>
  <c r="L10" i="1"/>
  <c r="K10" i="1"/>
  <c r="M10" i="1" s="1"/>
  <c r="J10" i="1"/>
  <c r="L9" i="1"/>
  <c r="K9" i="1"/>
  <c r="M9" i="1" s="1"/>
  <c r="J9" i="1"/>
  <c r="L8" i="1"/>
  <c r="K8" i="1"/>
  <c r="M8" i="1" s="1"/>
  <c r="J8" i="1"/>
  <c r="L7" i="1"/>
  <c r="K7" i="1"/>
  <c r="M7" i="1" s="1"/>
  <c r="J7" i="1"/>
  <c r="L6" i="1"/>
  <c r="E8" i="2" s="1"/>
  <c r="K6" i="1"/>
  <c r="M6" i="1" s="1"/>
  <c r="J6" i="1"/>
  <c r="L5" i="1"/>
  <c r="K5" i="1"/>
  <c r="M5" i="1" s="1"/>
  <c r="J5" i="1"/>
  <c r="L4" i="1"/>
  <c r="K4" i="1"/>
  <c r="E7" i="2" s="1"/>
  <c r="J4" i="1"/>
  <c r="H6" i="2" l="1"/>
  <c r="H11" i="2"/>
  <c r="H10" i="2"/>
  <c r="H7" i="2"/>
  <c r="H9" i="2"/>
  <c r="H8" i="2"/>
  <c r="B8" i="2"/>
  <c r="B9" i="2"/>
  <c r="M4" i="1"/>
  <c r="E6" i="2"/>
  <c r="E12" i="2" l="1"/>
  <c r="B6" i="2"/>
  <c r="B11" i="2"/>
  <c r="H5" i="2"/>
  <c r="E5" i="2"/>
  <c r="B5" i="2"/>
  <c r="H4" i="2"/>
  <c r="B10" i="2"/>
  <c r="E4" i="2"/>
  <c r="B12" i="2" l="1"/>
  <c r="B7" i="2"/>
</calcChain>
</file>

<file path=xl/sharedStrings.xml><?xml version="1.0" encoding="utf-8"?>
<sst xmlns="http://schemas.openxmlformats.org/spreadsheetml/2006/main" count="86" uniqueCount="78">
  <si>
    <t>📈  TRADING STRATEGY REFINEMENT — TRADE LOG</t>
  </si>
  <si>
    <t>Every trade logged here feeds your AI knowledge base. Consistency = compounding edge.</t>
  </si>
  <si>
    <t>Date</t>
  </si>
  <si>
    <t>Ticker</t>
  </si>
  <si>
    <t>Direction</t>
  </si>
  <si>
    <t>Setup Name</t>
  </si>
  <si>
    <t>Entry $</t>
  </si>
  <si>
    <t>Stop $</t>
  </si>
  <si>
    <t>Target $</t>
  </si>
  <si>
    <t>Exit $</t>
  </si>
  <si>
    <t>Shares/Qty</t>
  </si>
  <si>
    <t>Risk $</t>
  </si>
  <si>
    <t>P&amp;L $</t>
  </si>
  <si>
    <t>R-Multiple</t>
  </si>
  <si>
    <t>Win/Loss</t>
  </si>
  <si>
    <t>Market Condition</t>
  </si>
  <si>
    <t>Timeframe</t>
  </si>
  <si>
    <t>Chart File</t>
  </si>
  <si>
    <t>Entry Reason</t>
  </si>
  <si>
    <t>Exit Reason</t>
  </si>
  <si>
    <t>Notes / Lesson</t>
  </si>
  <si>
    <t>2024-03-15</t>
  </si>
  <si>
    <t>NVDA</t>
  </si>
  <si>
    <t>Long</t>
  </si>
  <si>
    <t>Bull Flag Breakout</t>
  </si>
  <si>
    <t>Trending</t>
  </si>
  <si>
    <t>Daily</t>
  </si>
  <si>
    <t>2024-03-15-NVDA-bull-flag-WIN.png</t>
  </si>
  <si>
    <t>Clean flag after earnings gap, volume confirmation on breakout</t>
  </si>
  <si>
    <t>Hit 90% of target, trailing stop triggered</t>
  </si>
  <si>
    <t>Perfect setup. Held conviction through pullback.</t>
  </si>
  <si>
    <t>2024-03-18</t>
  </si>
  <si>
    <t>AMD</t>
  </si>
  <si>
    <t>Earnings Gap Fill</t>
  </si>
  <si>
    <t>Choppy</t>
  </si>
  <si>
    <t>2024-03-18-AMD-gap-fill-LOSS.png</t>
  </si>
  <si>
    <t>Gap fill setup, sector momentum</t>
  </si>
  <si>
    <t>Stopped out — market reversed hard</t>
  </si>
  <si>
    <t>Lesson: Don't trade gap fills in choppy market conditions.</t>
  </si>
  <si>
    <t>2024-03-21</t>
  </si>
  <si>
    <t>MSFT</t>
  </si>
  <si>
    <t>HTF Support Bounce</t>
  </si>
  <si>
    <t>Weekly</t>
  </si>
  <si>
    <t>2024-03-21-MSFT-support-bounce-WIN.png</t>
  </si>
  <si>
    <t>Weekly support level, daily RSI oversold, clean candle</t>
  </si>
  <si>
    <t>Scaled out at 2R, let runner ride to target</t>
  </si>
  <si>
    <t>Best trade of the month. Patience paid off.</t>
  </si>
  <si>
    <t>📊  STRATEGY PERFORMANCE DASHBOARD</t>
  </si>
  <si>
    <t>Auto-calculated from Trade Log. Add trades there — this updates automatically.</t>
  </si>
  <si>
    <t>Metric</t>
  </si>
  <si>
    <t>Value</t>
  </si>
  <si>
    <t>Total Trades</t>
  </si>
  <si>
    <t>Avg R-Multiple</t>
  </si>
  <si>
    <t>Bull Flag Wins</t>
  </si>
  <si>
    <t>Wins</t>
  </si>
  <si>
    <t>Avg Loss R</t>
  </si>
  <si>
    <t>Bull Flag Losses</t>
  </si>
  <si>
    <t>Losses</t>
  </si>
  <si>
    <t>Best Trade $</t>
  </si>
  <si>
    <t>Gap Fill Wins</t>
  </si>
  <si>
    <t>Win Rate</t>
  </si>
  <si>
    <t>Worst Trade $</t>
  </si>
  <si>
    <t>Gap Fill Losses</t>
  </si>
  <si>
    <t>Total P&amp;L</t>
  </si>
  <si>
    <t>Largest Win R</t>
  </si>
  <si>
    <t>Support Bnc Wins</t>
  </si>
  <si>
    <t>Avg P&amp;L per Trade</t>
  </si>
  <si>
    <t>Largest Loss R</t>
  </si>
  <si>
    <t>Support Bnc Loss</t>
  </si>
  <si>
    <t>Avg Win $</t>
  </si>
  <si>
    <t>Long Trades</t>
  </si>
  <si>
    <t>Choppy Mkt Wins</t>
  </si>
  <si>
    <t>Avg Loss $</t>
  </si>
  <si>
    <t>Short Trades</t>
  </si>
  <si>
    <t>Choppy Mkt Loss</t>
  </si>
  <si>
    <t>Expectancy</t>
  </si>
  <si>
    <t>Trending Wins</t>
  </si>
  <si>
    <t>Sample Valid?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</si>
</sst>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\R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FDCB6E"/>
      <name val="Arial"/>
      <charset val="1"/>
    </font>
    <font>
      <i/>
      <sz val="10"/>
      <color rgb="FFB2BEC3"/>
      <name val="Arial"/>
      <charset val="1"/>
    </font>
    <font>
      <b/>
      <sz val="10"/>
      <color rgb="FFFFFFFF"/>
      <name val="Arial"/>
      <charset val="1"/>
    </font>
    <font>
      <b/>
      <sz val="15"/>
      <color rgb="FFFDCB6E"/>
      <name val="Arial"/>
      <charset val="1"/>
    </font>
    <font>
      <b/>
      <sz val="10"/>
      <color rgb="FF2D3436"/>
      <name val="Arial"/>
      <charset val="1"/>
    </font>
    <font>
      <b/>
      <sz val="10"/>
      <color rgb="FF0F346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3">
    <border>
      <left/>
      <right/>
      <top/>
      <bottom/>
      <diagonal/>
    </border>
    <border>
      <left style="thin">
        <color rgb="FFB2BEC3"/>
      </left>
      <right style="thin">
        <color rgb="FFB2BEC3"/>
      </right>
      <top style="thin">
        <color rgb="FFB2BEC3"/>
      </top>
      <bottom style="thin">
        <color rgb="FFB2BEC3"/>
      </bottom>
      <diagonal/>
    </border>
    <border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164" fontId="0" fillId="5" borderId="2" xfId="0" applyNumberFormat="1" applyFill="1" applyBorder="1" applyAlignment="1">
      <alignment horizontal="center" vertical="center" wrapText="1"/>
    </xf>
    <xf numFmtId="165" fontId="0" fillId="5" borderId="2" xfId="0" applyNumberForma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165" fontId="6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166" fontId="6" fillId="5" borderId="2" xfId="0" applyNumberFormat="1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EC3"/>
      <rgbColor rgb="FF808080"/>
      <rgbColor rgb="FF9999FF"/>
      <rgbColor rgb="FF993366"/>
      <rgbColor rgb="FFF8F9FA"/>
      <rgbColor rgb="FFDFE6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CB6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6213E"/>
      <rgbColor rgb="FF1A1A2E"/>
      <rgbColor rgb="FF993300"/>
      <rgbColor rgb="FF993366"/>
      <rgbColor rgb="FF333399"/>
      <rgbColor rgb="FF2D34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tabSelected="1" zoomScaleNormal="100" workbookViewId="0">
      <pane ySplit="3" topLeftCell="A4" activePane="bottomLeft" state="frozen"/>
      <selection pane="bottomLeft" sqref="A1:S1"/>
    </sheetView>
  </sheetViews>
  <sheetFormatPr defaultColWidth="8.7109375" defaultRowHeight="15" x14ac:dyDescent="0.25"/>
  <cols>
    <col min="1" max="1" width="12" customWidth="1"/>
    <col min="2" max="2" width="9" customWidth="1"/>
    <col min="3" max="3" width="10" customWidth="1"/>
    <col min="4" max="4" width="18" customWidth="1"/>
    <col min="5" max="8" width="10" customWidth="1"/>
    <col min="9" max="9" width="11" customWidth="1"/>
    <col min="10" max="11" width="10" customWidth="1"/>
    <col min="12" max="12" width="11" customWidth="1"/>
    <col min="13" max="13" width="10" customWidth="1"/>
    <col min="14" max="14" width="16" customWidth="1"/>
    <col min="15" max="15" width="11" customWidth="1"/>
    <col min="16" max="16" width="18" customWidth="1"/>
    <col min="17" max="18" width="22" customWidth="1"/>
    <col min="19" max="19" width="28" customWidth="1"/>
  </cols>
  <sheetData>
    <row r="1" spans="1:19" ht="36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36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 spans="1:19" ht="21.75" customHeight="1" x14ac:dyDescent="0.25">
      <c r="A4" s="5" t="s">
        <v>21</v>
      </c>
      <c r="B4" s="5" t="s">
        <v>22</v>
      </c>
      <c r="C4" s="5" t="s">
        <v>23</v>
      </c>
      <c r="D4" s="6" t="s">
        <v>24</v>
      </c>
      <c r="E4" s="7">
        <v>874.5</v>
      </c>
      <c r="F4" s="7">
        <v>855</v>
      </c>
      <c r="G4" s="7">
        <v>910</v>
      </c>
      <c r="H4" s="7">
        <v>905</v>
      </c>
      <c r="I4" s="5">
        <v>10</v>
      </c>
      <c r="J4" s="7">
        <f>I4*(E4-F4)</f>
        <v>195</v>
      </c>
      <c r="K4" s="7">
        <f>(H4-E4)*I4</f>
        <v>305</v>
      </c>
      <c r="L4" s="8">
        <f>(H4-E4)/(E4-F4)</f>
        <v>1.5641025641025641</v>
      </c>
      <c r="M4" s="5" t="str">
        <f>IF(K4&gt;0,"WIN","LOSS")</f>
        <v>WIN</v>
      </c>
      <c r="N4" s="5" t="s">
        <v>25</v>
      </c>
      <c r="O4" s="5" t="s">
        <v>26</v>
      </c>
      <c r="P4" s="6" t="s">
        <v>27</v>
      </c>
      <c r="Q4" s="6" t="s">
        <v>28</v>
      </c>
      <c r="R4" s="6" t="s">
        <v>29</v>
      </c>
      <c r="S4" s="6" t="s">
        <v>30</v>
      </c>
    </row>
    <row r="5" spans="1:19" ht="21.75" customHeight="1" x14ac:dyDescent="0.25">
      <c r="A5" s="9" t="s">
        <v>31</v>
      </c>
      <c r="B5" s="9" t="s">
        <v>32</v>
      </c>
      <c r="C5" s="9" t="s">
        <v>23</v>
      </c>
      <c r="D5" s="10" t="s">
        <v>33</v>
      </c>
      <c r="E5" s="11">
        <v>178.2</v>
      </c>
      <c r="F5" s="11">
        <v>172</v>
      </c>
      <c r="G5" s="11">
        <v>188</v>
      </c>
      <c r="H5" s="11">
        <v>171.5</v>
      </c>
      <c r="I5" s="9">
        <v>15</v>
      </c>
      <c r="J5" s="11">
        <f>I5*(E5-F5)</f>
        <v>92.999999999999829</v>
      </c>
      <c r="K5" s="11">
        <f>(H5-E5)*I5</f>
        <v>-100.49999999999983</v>
      </c>
      <c r="L5" s="12">
        <f>(H5-E5)/(E5-F5)</f>
        <v>-1.0806451612903227</v>
      </c>
      <c r="M5" s="9" t="str">
        <f>IF(K5&gt;0,"WIN","LOSS")</f>
        <v>LOSS</v>
      </c>
      <c r="N5" s="9" t="s">
        <v>34</v>
      </c>
      <c r="O5" s="9" t="s">
        <v>26</v>
      </c>
      <c r="P5" s="10" t="s">
        <v>35</v>
      </c>
      <c r="Q5" s="10" t="s">
        <v>36</v>
      </c>
      <c r="R5" s="10" t="s">
        <v>37</v>
      </c>
      <c r="S5" s="10" t="s">
        <v>38</v>
      </c>
    </row>
    <row r="6" spans="1:19" ht="21.75" customHeight="1" x14ac:dyDescent="0.25">
      <c r="A6" s="5" t="s">
        <v>39</v>
      </c>
      <c r="B6" s="5" t="s">
        <v>40</v>
      </c>
      <c r="C6" s="5" t="s">
        <v>23</v>
      </c>
      <c r="D6" s="6" t="s">
        <v>41</v>
      </c>
      <c r="E6" s="7">
        <v>415</v>
      </c>
      <c r="F6" s="7">
        <v>408</v>
      </c>
      <c r="G6" s="7">
        <v>432</v>
      </c>
      <c r="H6" s="7">
        <v>430.5</v>
      </c>
      <c r="I6" s="5">
        <v>12</v>
      </c>
      <c r="J6" s="7">
        <f>I6*(E6-F6)</f>
        <v>84</v>
      </c>
      <c r="K6" s="7">
        <f>(H6-E6)*I6</f>
        <v>186</v>
      </c>
      <c r="L6" s="8">
        <f>(H6-E6)/(E6-F6)</f>
        <v>2.2142857142857144</v>
      </c>
      <c r="M6" s="5" t="str">
        <f>IF(K6&gt;0,"WIN","LOSS")</f>
        <v>WIN</v>
      </c>
      <c r="N6" s="5" t="s">
        <v>25</v>
      </c>
      <c r="O6" s="5" t="s">
        <v>42</v>
      </c>
      <c r="P6" s="6" t="s">
        <v>43</v>
      </c>
      <c r="Q6" s="6" t="s">
        <v>44</v>
      </c>
      <c r="R6" s="6" t="s">
        <v>45</v>
      </c>
      <c r="S6" s="6" t="s">
        <v>46</v>
      </c>
    </row>
    <row r="7" spans="1:19" ht="19.5" customHeight="1" x14ac:dyDescent="0.25">
      <c r="A7" s="9"/>
      <c r="B7" s="9"/>
      <c r="C7" s="9"/>
      <c r="D7" s="10"/>
      <c r="E7" s="11"/>
      <c r="F7" s="11"/>
      <c r="G7" s="11"/>
      <c r="H7" s="11"/>
      <c r="I7" s="9"/>
      <c r="J7" s="11" t="str">
        <f t="shared" ref="J7:J38" si="0">IF(E7="","",I7*(E7-F7))</f>
        <v/>
      </c>
      <c r="K7" s="11" t="str">
        <f t="shared" ref="K7:K38" si="1">IF(H7="","",( H7-E7)*I7)</f>
        <v/>
      </c>
      <c r="L7" s="12" t="str">
        <f t="shared" ref="L7:L38" si="2">IF(OR(E7="",F7="",H7=""),"",( H7-E7)/(E7-F7))</f>
        <v/>
      </c>
      <c r="M7" s="9" t="str">
        <f t="shared" ref="M7:M38" si="3">IF(K7="","",IF(K7&gt;0,"WIN","LOSS"))</f>
        <v/>
      </c>
      <c r="N7" s="9"/>
      <c r="O7" s="9"/>
      <c r="P7" s="10"/>
      <c r="Q7" s="10"/>
      <c r="R7" s="10"/>
      <c r="S7" s="10"/>
    </row>
    <row r="8" spans="1:19" ht="19.5" customHeight="1" x14ac:dyDescent="0.25">
      <c r="A8" s="5"/>
      <c r="B8" s="5"/>
      <c r="C8" s="5"/>
      <c r="D8" s="6"/>
      <c r="E8" s="7"/>
      <c r="F8" s="7"/>
      <c r="G8" s="7"/>
      <c r="H8" s="7"/>
      <c r="I8" s="5"/>
      <c r="J8" s="7" t="str">
        <f t="shared" si="0"/>
        <v/>
      </c>
      <c r="K8" s="7" t="str">
        <f t="shared" si="1"/>
        <v/>
      </c>
      <c r="L8" s="8" t="str">
        <f t="shared" si="2"/>
        <v/>
      </c>
      <c r="M8" s="5" t="str">
        <f t="shared" si="3"/>
        <v/>
      </c>
      <c r="N8" s="5"/>
      <c r="O8" s="5"/>
      <c r="P8" s="6"/>
      <c r="Q8" s="6"/>
      <c r="R8" s="6"/>
      <c r="S8" s="6"/>
    </row>
    <row r="9" spans="1:19" ht="19.5" customHeight="1" x14ac:dyDescent="0.25">
      <c r="A9" s="9"/>
      <c r="B9" s="9"/>
      <c r="C9" s="9"/>
      <c r="D9" s="10"/>
      <c r="E9" s="11"/>
      <c r="F9" s="11"/>
      <c r="G9" s="11"/>
      <c r="H9" s="11"/>
      <c r="I9" s="9"/>
      <c r="J9" s="11" t="str">
        <f t="shared" si="0"/>
        <v/>
      </c>
      <c r="K9" s="11" t="str">
        <f t="shared" si="1"/>
        <v/>
      </c>
      <c r="L9" s="12" t="str">
        <f t="shared" si="2"/>
        <v/>
      </c>
      <c r="M9" s="9" t="str">
        <f t="shared" si="3"/>
        <v/>
      </c>
      <c r="N9" s="9"/>
      <c r="O9" s="9"/>
      <c r="P9" s="10"/>
      <c r="Q9" s="10"/>
      <c r="R9" s="10"/>
      <c r="S9" s="10"/>
    </row>
    <row r="10" spans="1:19" ht="19.5" customHeight="1" x14ac:dyDescent="0.25">
      <c r="A10" s="5"/>
      <c r="B10" s="5"/>
      <c r="C10" s="5"/>
      <c r="D10" s="6"/>
      <c r="E10" s="7"/>
      <c r="F10" s="7"/>
      <c r="G10" s="7"/>
      <c r="H10" s="7"/>
      <c r="I10" s="5"/>
      <c r="J10" s="7" t="str">
        <f t="shared" si="0"/>
        <v/>
      </c>
      <c r="K10" s="7" t="str">
        <f t="shared" si="1"/>
        <v/>
      </c>
      <c r="L10" s="8" t="str">
        <f t="shared" si="2"/>
        <v/>
      </c>
      <c r="M10" s="5" t="str">
        <f t="shared" si="3"/>
        <v/>
      </c>
      <c r="N10" s="5"/>
      <c r="O10" s="5"/>
      <c r="P10" s="6"/>
      <c r="Q10" s="6"/>
      <c r="R10" s="6"/>
      <c r="S10" s="6"/>
    </row>
    <row r="11" spans="1:19" ht="19.5" customHeight="1" x14ac:dyDescent="0.25">
      <c r="A11" s="9"/>
      <c r="B11" s="9"/>
      <c r="C11" s="9"/>
      <c r="D11" s="10"/>
      <c r="E11" s="11"/>
      <c r="F11" s="11"/>
      <c r="G11" s="11"/>
      <c r="H11" s="11"/>
      <c r="I11" s="9"/>
      <c r="J11" s="11" t="str">
        <f t="shared" si="0"/>
        <v/>
      </c>
      <c r="K11" s="11" t="str">
        <f t="shared" si="1"/>
        <v/>
      </c>
      <c r="L11" s="12" t="str">
        <f t="shared" si="2"/>
        <v/>
      </c>
      <c r="M11" s="9" t="str">
        <f t="shared" si="3"/>
        <v/>
      </c>
      <c r="N11" s="9"/>
      <c r="O11" s="9"/>
      <c r="P11" s="10"/>
      <c r="Q11" s="10"/>
      <c r="R11" s="10"/>
      <c r="S11" s="10"/>
    </row>
    <row r="12" spans="1:19" ht="19.5" customHeight="1" x14ac:dyDescent="0.25">
      <c r="A12" s="5"/>
      <c r="B12" s="5"/>
      <c r="C12" s="5"/>
      <c r="D12" s="6"/>
      <c r="E12" s="7"/>
      <c r="F12" s="7"/>
      <c r="G12" s="7"/>
      <c r="H12" s="7"/>
      <c r="I12" s="5"/>
      <c r="J12" s="7" t="str">
        <f t="shared" si="0"/>
        <v/>
      </c>
      <c r="K12" s="7" t="str">
        <f t="shared" si="1"/>
        <v/>
      </c>
      <c r="L12" s="8" t="str">
        <f t="shared" si="2"/>
        <v/>
      </c>
      <c r="M12" s="5" t="str">
        <f t="shared" si="3"/>
        <v/>
      </c>
      <c r="N12" s="5"/>
      <c r="O12" s="5"/>
      <c r="P12" s="6"/>
      <c r="Q12" s="6"/>
      <c r="R12" s="6"/>
      <c r="S12" s="6"/>
    </row>
    <row r="13" spans="1:19" ht="19.5" customHeight="1" x14ac:dyDescent="0.25">
      <c r="A13" s="9"/>
      <c r="B13" s="9"/>
      <c r="C13" s="9"/>
      <c r="D13" s="10"/>
      <c r="E13" s="11"/>
      <c r="F13" s="11"/>
      <c r="G13" s="11"/>
      <c r="H13" s="11"/>
      <c r="I13" s="9"/>
      <c r="J13" s="11" t="str">
        <f t="shared" si="0"/>
        <v/>
      </c>
      <c r="K13" s="11" t="str">
        <f t="shared" si="1"/>
        <v/>
      </c>
      <c r="L13" s="12" t="str">
        <f t="shared" si="2"/>
        <v/>
      </c>
      <c r="M13" s="9" t="str">
        <f t="shared" si="3"/>
        <v/>
      </c>
      <c r="N13" s="9"/>
      <c r="O13" s="9"/>
      <c r="P13" s="10"/>
      <c r="Q13" s="10"/>
      <c r="R13" s="10"/>
      <c r="S13" s="10"/>
    </row>
    <row r="14" spans="1:19" ht="19.5" customHeight="1" x14ac:dyDescent="0.25">
      <c r="A14" s="5"/>
      <c r="B14" s="5"/>
      <c r="C14" s="5"/>
      <c r="D14" s="6"/>
      <c r="E14" s="7"/>
      <c r="F14" s="7"/>
      <c r="G14" s="7"/>
      <c r="H14" s="7"/>
      <c r="I14" s="5"/>
      <c r="J14" s="7" t="str">
        <f t="shared" si="0"/>
        <v/>
      </c>
      <c r="K14" s="7" t="str">
        <f t="shared" si="1"/>
        <v/>
      </c>
      <c r="L14" s="8" t="str">
        <f t="shared" si="2"/>
        <v/>
      </c>
      <c r="M14" s="5" t="str">
        <f t="shared" si="3"/>
        <v/>
      </c>
      <c r="N14" s="5"/>
      <c r="O14" s="5"/>
      <c r="P14" s="6"/>
      <c r="Q14" s="6"/>
      <c r="R14" s="6"/>
      <c r="S14" s="6"/>
    </row>
    <row r="15" spans="1:19" ht="19.5" customHeight="1" x14ac:dyDescent="0.25">
      <c r="A15" s="9"/>
      <c r="B15" s="9"/>
      <c r="C15" s="9"/>
      <c r="D15" s="10"/>
      <c r="E15" s="11"/>
      <c r="F15" s="11"/>
      <c r="G15" s="11"/>
      <c r="H15" s="11"/>
      <c r="I15" s="9"/>
      <c r="J15" s="11" t="str">
        <f t="shared" si="0"/>
        <v/>
      </c>
      <c r="K15" s="11" t="str">
        <f t="shared" si="1"/>
        <v/>
      </c>
      <c r="L15" s="12" t="str">
        <f t="shared" si="2"/>
        <v/>
      </c>
      <c r="M15" s="9" t="str">
        <f t="shared" si="3"/>
        <v/>
      </c>
      <c r="N15" s="9"/>
      <c r="O15" s="9"/>
      <c r="P15" s="10"/>
      <c r="Q15" s="10"/>
      <c r="R15" s="10"/>
      <c r="S15" s="10"/>
    </row>
    <row r="16" spans="1:19" ht="19.5" customHeight="1" x14ac:dyDescent="0.25">
      <c r="A16" s="5"/>
      <c r="B16" s="5"/>
      <c r="C16" s="5"/>
      <c r="D16" s="6"/>
      <c r="E16" s="7"/>
      <c r="F16" s="7"/>
      <c r="G16" s="7"/>
      <c r="H16" s="7"/>
      <c r="I16" s="5"/>
      <c r="J16" s="7" t="str">
        <f t="shared" si="0"/>
        <v/>
      </c>
      <c r="K16" s="7" t="str">
        <f t="shared" si="1"/>
        <v/>
      </c>
      <c r="L16" s="8" t="str">
        <f t="shared" si="2"/>
        <v/>
      </c>
      <c r="M16" s="5" t="str">
        <f t="shared" si="3"/>
        <v/>
      </c>
      <c r="N16" s="5"/>
      <c r="O16" s="5"/>
      <c r="P16" s="6"/>
      <c r="Q16" s="6"/>
      <c r="R16" s="6"/>
      <c r="S16" s="6"/>
    </row>
    <row r="17" spans="1:19" ht="19.5" customHeight="1" x14ac:dyDescent="0.25">
      <c r="A17" s="9"/>
      <c r="B17" s="9"/>
      <c r="C17" s="9"/>
      <c r="D17" s="10"/>
      <c r="E17" s="11"/>
      <c r="F17" s="11"/>
      <c r="G17" s="11"/>
      <c r="H17" s="11"/>
      <c r="I17" s="9"/>
      <c r="J17" s="11" t="str">
        <f t="shared" si="0"/>
        <v/>
      </c>
      <c r="K17" s="11" t="str">
        <f t="shared" si="1"/>
        <v/>
      </c>
      <c r="L17" s="12" t="str">
        <f t="shared" si="2"/>
        <v/>
      </c>
      <c r="M17" s="9" t="str">
        <f t="shared" si="3"/>
        <v/>
      </c>
      <c r="N17" s="9"/>
      <c r="O17" s="9"/>
      <c r="P17" s="10"/>
      <c r="Q17" s="10"/>
      <c r="R17" s="10"/>
      <c r="S17" s="10"/>
    </row>
    <row r="18" spans="1:19" ht="19.5" customHeight="1" x14ac:dyDescent="0.25">
      <c r="A18" s="5"/>
      <c r="B18" s="5"/>
      <c r="C18" s="5"/>
      <c r="D18" s="6"/>
      <c r="E18" s="7"/>
      <c r="F18" s="7"/>
      <c r="G18" s="7"/>
      <c r="H18" s="7"/>
      <c r="I18" s="5"/>
      <c r="J18" s="7" t="str">
        <f t="shared" si="0"/>
        <v/>
      </c>
      <c r="K18" s="7" t="str">
        <f t="shared" si="1"/>
        <v/>
      </c>
      <c r="L18" s="8" t="str">
        <f t="shared" si="2"/>
        <v/>
      </c>
      <c r="M18" s="5" t="str">
        <f t="shared" si="3"/>
        <v/>
      </c>
      <c r="N18" s="5"/>
      <c r="O18" s="5"/>
      <c r="P18" s="6"/>
      <c r="Q18" s="6"/>
      <c r="R18" s="6"/>
      <c r="S18" s="6"/>
    </row>
    <row r="19" spans="1:19" ht="19.5" customHeight="1" x14ac:dyDescent="0.25">
      <c r="A19" s="9"/>
      <c r="B19" s="9"/>
      <c r="C19" s="9"/>
      <c r="D19" s="10"/>
      <c r="E19" s="11"/>
      <c r="F19" s="11"/>
      <c r="G19" s="11"/>
      <c r="H19" s="11"/>
      <c r="I19" s="9"/>
      <c r="J19" s="11" t="str">
        <f t="shared" si="0"/>
        <v/>
      </c>
      <c r="K19" s="11" t="str">
        <f t="shared" si="1"/>
        <v/>
      </c>
      <c r="L19" s="12" t="str">
        <f t="shared" si="2"/>
        <v/>
      </c>
      <c r="M19" s="9" t="str">
        <f t="shared" si="3"/>
        <v/>
      </c>
      <c r="N19" s="9"/>
      <c r="O19" s="9"/>
      <c r="P19" s="10"/>
      <c r="Q19" s="10"/>
      <c r="R19" s="10"/>
      <c r="S19" s="10"/>
    </row>
    <row r="20" spans="1:19" ht="19.5" customHeight="1" x14ac:dyDescent="0.25">
      <c r="A20" s="5"/>
      <c r="B20" s="5"/>
      <c r="C20" s="5"/>
      <c r="D20" s="6"/>
      <c r="E20" s="7"/>
      <c r="F20" s="7"/>
      <c r="G20" s="7"/>
      <c r="H20" s="7"/>
      <c r="I20" s="5"/>
      <c r="J20" s="7" t="str">
        <f t="shared" si="0"/>
        <v/>
      </c>
      <c r="K20" s="7" t="str">
        <f t="shared" si="1"/>
        <v/>
      </c>
      <c r="L20" s="8" t="str">
        <f t="shared" si="2"/>
        <v/>
      </c>
      <c r="M20" s="5" t="str">
        <f t="shared" si="3"/>
        <v/>
      </c>
      <c r="N20" s="5"/>
      <c r="O20" s="5"/>
      <c r="P20" s="6"/>
      <c r="Q20" s="6"/>
      <c r="R20" s="6"/>
      <c r="S20" s="6"/>
    </row>
    <row r="21" spans="1:19" ht="19.5" customHeight="1" x14ac:dyDescent="0.25">
      <c r="A21" s="9"/>
      <c r="B21" s="9"/>
      <c r="C21" s="9"/>
      <c r="D21" s="10"/>
      <c r="E21" s="11"/>
      <c r="F21" s="11"/>
      <c r="G21" s="11"/>
      <c r="H21" s="11"/>
      <c r="I21" s="9"/>
      <c r="J21" s="11" t="str">
        <f t="shared" si="0"/>
        <v/>
      </c>
      <c r="K21" s="11" t="str">
        <f t="shared" si="1"/>
        <v/>
      </c>
      <c r="L21" s="12" t="str">
        <f t="shared" si="2"/>
        <v/>
      </c>
      <c r="M21" s="9" t="str">
        <f t="shared" si="3"/>
        <v/>
      </c>
      <c r="N21" s="9"/>
      <c r="O21" s="9"/>
      <c r="P21" s="10"/>
      <c r="Q21" s="10"/>
      <c r="R21" s="10"/>
      <c r="S21" s="10"/>
    </row>
    <row r="22" spans="1:19" ht="19.5" customHeight="1" x14ac:dyDescent="0.25">
      <c r="A22" s="5"/>
      <c r="B22" s="5"/>
      <c r="C22" s="5"/>
      <c r="D22" s="6"/>
      <c r="E22" s="7"/>
      <c r="F22" s="7"/>
      <c r="G22" s="7"/>
      <c r="H22" s="7"/>
      <c r="I22" s="5"/>
      <c r="J22" s="7" t="str">
        <f t="shared" si="0"/>
        <v/>
      </c>
      <c r="K22" s="7" t="str">
        <f t="shared" si="1"/>
        <v/>
      </c>
      <c r="L22" s="8" t="str">
        <f t="shared" si="2"/>
        <v/>
      </c>
      <c r="M22" s="5" t="str">
        <f t="shared" si="3"/>
        <v/>
      </c>
      <c r="N22" s="5"/>
      <c r="O22" s="5"/>
      <c r="P22" s="6"/>
      <c r="Q22" s="6"/>
      <c r="R22" s="6"/>
      <c r="S22" s="6"/>
    </row>
    <row r="23" spans="1:19" ht="19.5" customHeight="1" x14ac:dyDescent="0.25">
      <c r="A23" s="9"/>
      <c r="B23" s="9"/>
      <c r="C23" s="9"/>
      <c r="D23" s="10"/>
      <c r="E23" s="11"/>
      <c r="F23" s="11"/>
      <c r="G23" s="11"/>
      <c r="H23" s="11"/>
      <c r="I23" s="9"/>
      <c r="J23" s="11" t="str">
        <f t="shared" si="0"/>
        <v/>
      </c>
      <c r="K23" s="11" t="str">
        <f t="shared" si="1"/>
        <v/>
      </c>
      <c r="L23" s="12" t="str">
        <f t="shared" si="2"/>
        <v/>
      </c>
      <c r="M23" s="9" t="str">
        <f t="shared" si="3"/>
        <v/>
      </c>
      <c r="N23" s="9"/>
      <c r="O23" s="9"/>
      <c r="P23" s="10"/>
      <c r="Q23" s="10"/>
      <c r="R23" s="10"/>
      <c r="S23" s="10"/>
    </row>
    <row r="24" spans="1:19" ht="19.5" customHeight="1" x14ac:dyDescent="0.25">
      <c r="A24" s="5"/>
      <c r="B24" s="5"/>
      <c r="C24" s="5"/>
      <c r="D24" s="6"/>
      <c r="E24" s="7"/>
      <c r="F24" s="7"/>
      <c r="G24" s="7"/>
      <c r="H24" s="7"/>
      <c r="I24" s="5"/>
      <c r="J24" s="7" t="str">
        <f t="shared" si="0"/>
        <v/>
      </c>
      <c r="K24" s="7" t="str">
        <f t="shared" si="1"/>
        <v/>
      </c>
      <c r="L24" s="8" t="str">
        <f t="shared" si="2"/>
        <v/>
      </c>
      <c r="M24" s="5" t="str">
        <f t="shared" si="3"/>
        <v/>
      </c>
      <c r="N24" s="5"/>
      <c r="O24" s="5"/>
      <c r="P24" s="6"/>
      <c r="Q24" s="6"/>
      <c r="R24" s="6"/>
      <c r="S24" s="6"/>
    </row>
    <row r="25" spans="1:19" ht="19.5" customHeight="1" x14ac:dyDescent="0.25">
      <c r="A25" s="9"/>
      <c r="B25" s="9"/>
      <c r="C25" s="9"/>
      <c r="D25" s="10"/>
      <c r="E25" s="11"/>
      <c r="F25" s="11"/>
      <c r="G25" s="11"/>
      <c r="H25" s="11"/>
      <c r="I25" s="9"/>
      <c r="J25" s="11" t="str">
        <f t="shared" si="0"/>
        <v/>
      </c>
      <c r="K25" s="11" t="str">
        <f t="shared" si="1"/>
        <v/>
      </c>
      <c r="L25" s="12" t="str">
        <f t="shared" si="2"/>
        <v/>
      </c>
      <c r="M25" s="9" t="str">
        <f t="shared" si="3"/>
        <v/>
      </c>
      <c r="N25" s="9"/>
      <c r="O25" s="9"/>
      <c r="P25" s="10"/>
      <c r="Q25" s="10"/>
      <c r="R25" s="10"/>
      <c r="S25" s="10"/>
    </row>
    <row r="26" spans="1:19" ht="19.5" customHeight="1" x14ac:dyDescent="0.25">
      <c r="A26" s="5"/>
      <c r="B26" s="5"/>
      <c r="C26" s="5"/>
      <c r="D26" s="6"/>
      <c r="E26" s="7"/>
      <c r="F26" s="7"/>
      <c r="G26" s="7"/>
      <c r="H26" s="7"/>
      <c r="I26" s="5"/>
      <c r="J26" s="7" t="str">
        <f t="shared" si="0"/>
        <v/>
      </c>
      <c r="K26" s="7" t="str">
        <f t="shared" si="1"/>
        <v/>
      </c>
      <c r="L26" s="8" t="str">
        <f t="shared" si="2"/>
        <v/>
      </c>
      <c r="M26" s="5" t="str">
        <f t="shared" si="3"/>
        <v/>
      </c>
      <c r="N26" s="5"/>
      <c r="O26" s="5"/>
      <c r="P26" s="6"/>
      <c r="Q26" s="6"/>
      <c r="R26" s="6"/>
      <c r="S26" s="6"/>
    </row>
    <row r="27" spans="1:19" ht="19.5" customHeight="1" x14ac:dyDescent="0.25">
      <c r="A27" s="9"/>
      <c r="B27" s="9"/>
      <c r="C27" s="9"/>
      <c r="D27" s="10"/>
      <c r="E27" s="11"/>
      <c r="F27" s="11"/>
      <c r="G27" s="11"/>
      <c r="H27" s="11"/>
      <c r="I27" s="9"/>
      <c r="J27" s="11" t="str">
        <f t="shared" si="0"/>
        <v/>
      </c>
      <c r="K27" s="11" t="str">
        <f t="shared" si="1"/>
        <v/>
      </c>
      <c r="L27" s="12" t="str">
        <f t="shared" si="2"/>
        <v/>
      </c>
      <c r="M27" s="9" t="str">
        <f t="shared" si="3"/>
        <v/>
      </c>
      <c r="N27" s="9"/>
      <c r="O27" s="9"/>
      <c r="P27" s="10"/>
      <c r="Q27" s="10"/>
      <c r="R27" s="10"/>
      <c r="S27" s="10"/>
    </row>
    <row r="28" spans="1:19" ht="19.5" customHeight="1" x14ac:dyDescent="0.25">
      <c r="A28" s="5"/>
      <c r="B28" s="5"/>
      <c r="C28" s="5"/>
      <c r="D28" s="6"/>
      <c r="E28" s="7"/>
      <c r="F28" s="7"/>
      <c r="G28" s="7"/>
      <c r="H28" s="7"/>
      <c r="I28" s="5"/>
      <c r="J28" s="7" t="str">
        <f t="shared" si="0"/>
        <v/>
      </c>
      <c r="K28" s="7" t="str">
        <f t="shared" si="1"/>
        <v/>
      </c>
      <c r="L28" s="8" t="str">
        <f t="shared" si="2"/>
        <v/>
      </c>
      <c r="M28" s="5" t="str">
        <f t="shared" si="3"/>
        <v/>
      </c>
      <c r="N28" s="5"/>
      <c r="O28" s="5"/>
      <c r="P28" s="6"/>
      <c r="Q28" s="6"/>
      <c r="R28" s="6"/>
      <c r="S28" s="6"/>
    </row>
    <row r="29" spans="1:19" ht="19.5" customHeight="1" x14ac:dyDescent="0.25">
      <c r="A29" s="9"/>
      <c r="B29" s="9"/>
      <c r="C29" s="9"/>
      <c r="D29" s="10"/>
      <c r="E29" s="11"/>
      <c r="F29" s="11"/>
      <c r="G29" s="11"/>
      <c r="H29" s="11"/>
      <c r="I29" s="9"/>
      <c r="J29" s="11" t="str">
        <f t="shared" si="0"/>
        <v/>
      </c>
      <c r="K29" s="11" t="str">
        <f t="shared" si="1"/>
        <v/>
      </c>
      <c r="L29" s="12" t="str">
        <f t="shared" si="2"/>
        <v/>
      </c>
      <c r="M29" s="9" t="str">
        <f t="shared" si="3"/>
        <v/>
      </c>
      <c r="N29" s="9"/>
      <c r="O29" s="9"/>
      <c r="P29" s="10"/>
      <c r="Q29" s="10"/>
      <c r="R29" s="10"/>
      <c r="S29" s="10"/>
    </row>
    <row r="30" spans="1:19" ht="19.5" customHeight="1" x14ac:dyDescent="0.25">
      <c r="A30" s="5"/>
      <c r="B30" s="5"/>
      <c r="C30" s="5"/>
      <c r="D30" s="6"/>
      <c r="E30" s="7"/>
      <c r="F30" s="7"/>
      <c r="G30" s="7"/>
      <c r="H30" s="7"/>
      <c r="I30" s="5"/>
      <c r="J30" s="7" t="str">
        <f t="shared" si="0"/>
        <v/>
      </c>
      <c r="K30" s="7" t="str">
        <f t="shared" si="1"/>
        <v/>
      </c>
      <c r="L30" s="8" t="str">
        <f t="shared" si="2"/>
        <v/>
      </c>
      <c r="M30" s="5" t="str">
        <f t="shared" si="3"/>
        <v/>
      </c>
      <c r="N30" s="5"/>
      <c r="O30" s="5"/>
      <c r="P30" s="6"/>
      <c r="Q30" s="6"/>
      <c r="R30" s="6"/>
      <c r="S30" s="6"/>
    </row>
    <row r="31" spans="1:19" ht="19.5" customHeight="1" x14ac:dyDescent="0.25">
      <c r="A31" s="9"/>
      <c r="B31" s="9"/>
      <c r="C31" s="9"/>
      <c r="D31" s="10"/>
      <c r="E31" s="11"/>
      <c r="F31" s="11"/>
      <c r="G31" s="11"/>
      <c r="H31" s="11"/>
      <c r="I31" s="9"/>
      <c r="J31" s="11" t="str">
        <f t="shared" si="0"/>
        <v/>
      </c>
      <c r="K31" s="11" t="str">
        <f t="shared" si="1"/>
        <v/>
      </c>
      <c r="L31" s="12" t="str">
        <f t="shared" si="2"/>
        <v/>
      </c>
      <c r="M31" s="9" t="str">
        <f t="shared" si="3"/>
        <v/>
      </c>
      <c r="N31" s="9"/>
      <c r="O31" s="9"/>
      <c r="P31" s="10"/>
      <c r="Q31" s="10"/>
      <c r="R31" s="10"/>
      <c r="S31" s="10"/>
    </row>
    <row r="32" spans="1:19" ht="19.5" customHeight="1" x14ac:dyDescent="0.25">
      <c r="A32" s="5"/>
      <c r="B32" s="5"/>
      <c r="C32" s="5"/>
      <c r="D32" s="6"/>
      <c r="E32" s="7"/>
      <c r="F32" s="7"/>
      <c r="G32" s="7"/>
      <c r="H32" s="7"/>
      <c r="I32" s="5"/>
      <c r="J32" s="7" t="str">
        <f t="shared" si="0"/>
        <v/>
      </c>
      <c r="K32" s="7" t="str">
        <f t="shared" si="1"/>
        <v/>
      </c>
      <c r="L32" s="8" t="str">
        <f t="shared" si="2"/>
        <v/>
      </c>
      <c r="M32" s="5" t="str">
        <f t="shared" si="3"/>
        <v/>
      </c>
      <c r="N32" s="5"/>
      <c r="O32" s="5"/>
      <c r="P32" s="6"/>
      <c r="Q32" s="6"/>
      <c r="R32" s="6"/>
      <c r="S32" s="6"/>
    </row>
    <row r="33" spans="1:19" ht="19.5" customHeight="1" x14ac:dyDescent="0.25">
      <c r="A33" s="9"/>
      <c r="B33" s="9"/>
      <c r="C33" s="9"/>
      <c r="D33" s="10"/>
      <c r="E33" s="11"/>
      <c r="F33" s="11"/>
      <c r="G33" s="11"/>
      <c r="H33" s="11"/>
      <c r="I33" s="9"/>
      <c r="J33" s="11" t="str">
        <f t="shared" si="0"/>
        <v/>
      </c>
      <c r="K33" s="11" t="str">
        <f t="shared" si="1"/>
        <v/>
      </c>
      <c r="L33" s="12" t="str">
        <f t="shared" si="2"/>
        <v/>
      </c>
      <c r="M33" s="9" t="str">
        <f t="shared" si="3"/>
        <v/>
      </c>
      <c r="N33" s="9"/>
      <c r="O33" s="9"/>
      <c r="P33" s="10"/>
      <c r="Q33" s="10"/>
      <c r="R33" s="10"/>
      <c r="S33" s="10"/>
    </row>
    <row r="34" spans="1:19" ht="19.5" customHeight="1" x14ac:dyDescent="0.25">
      <c r="A34" s="5"/>
      <c r="B34" s="5"/>
      <c r="C34" s="5"/>
      <c r="D34" s="6"/>
      <c r="E34" s="7"/>
      <c r="F34" s="7"/>
      <c r="G34" s="7"/>
      <c r="H34" s="7"/>
      <c r="I34" s="5"/>
      <c r="J34" s="7" t="str">
        <f t="shared" si="0"/>
        <v/>
      </c>
      <c r="K34" s="7" t="str">
        <f t="shared" si="1"/>
        <v/>
      </c>
      <c r="L34" s="8" t="str">
        <f t="shared" si="2"/>
        <v/>
      </c>
      <c r="M34" s="5" t="str">
        <f t="shared" si="3"/>
        <v/>
      </c>
      <c r="N34" s="5"/>
      <c r="O34" s="5"/>
      <c r="P34" s="6"/>
      <c r="Q34" s="6"/>
      <c r="R34" s="6"/>
      <c r="S34" s="6"/>
    </row>
    <row r="35" spans="1:19" ht="19.5" customHeight="1" x14ac:dyDescent="0.25">
      <c r="A35" s="9"/>
      <c r="B35" s="9"/>
      <c r="C35" s="9"/>
      <c r="D35" s="10"/>
      <c r="E35" s="11"/>
      <c r="F35" s="11"/>
      <c r="G35" s="11"/>
      <c r="H35" s="11"/>
      <c r="I35" s="9"/>
      <c r="J35" s="11" t="str">
        <f t="shared" si="0"/>
        <v/>
      </c>
      <c r="K35" s="11" t="str">
        <f t="shared" si="1"/>
        <v/>
      </c>
      <c r="L35" s="12" t="str">
        <f t="shared" si="2"/>
        <v/>
      </c>
      <c r="M35" s="9" t="str">
        <f t="shared" si="3"/>
        <v/>
      </c>
      <c r="N35" s="9"/>
      <c r="O35" s="9"/>
      <c r="P35" s="10"/>
      <c r="Q35" s="10"/>
      <c r="R35" s="10"/>
      <c r="S35" s="10"/>
    </row>
    <row r="36" spans="1:19" ht="19.5" customHeight="1" x14ac:dyDescent="0.25">
      <c r="A36" s="5"/>
      <c r="B36" s="5"/>
      <c r="C36" s="5"/>
      <c r="D36" s="6"/>
      <c r="E36" s="7"/>
      <c r="F36" s="7"/>
      <c r="G36" s="7"/>
      <c r="H36" s="7"/>
      <c r="I36" s="5"/>
      <c r="J36" s="7" t="str">
        <f t="shared" si="0"/>
        <v/>
      </c>
      <c r="K36" s="7" t="str">
        <f t="shared" si="1"/>
        <v/>
      </c>
      <c r="L36" s="8" t="str">
        <f t="shared" si="2"/>
        <v/>
      </c>
      <c r="M36" s="5" t="str">
        <f t="shared" si="3"/>
        <v/>
      </c>
      <c r="N36" s="5"/>
      <c r="O36" s="5"/>
      <c r="P36" s="6"/>
      <c r="Q36" s="6"/>
      <c r="R36" s="6"/>
      <c r="S36" s="6"/>
    </row>
    <row r="37" spans="1:19" ht="19.5" customHeight="1" x14ac:dyDescent="0.25">
      <c r="A37" s="9"/>
      <c r="B37" s="9"/>
      <c r="C37" s="9"/>
      <c r="D37" s="10"/>
      <c r="E37" s="11"/>
      <c r="F37" s="11"/>
      <c r="G37" s="11"/>
      <c r="H37" s="11"/>
      <c r="I37" s="9"/>
      <c r="J37" s="11" t="str">
        <f t="shared" si="0"/>
        <v/>
      </c>
      <c r="K37" s="11" t="str">
        <f t="shared" si="1"/>
        <v/>
      </c>
      <c r="L37" s="12" t="str">
        <f t="shared" si="2"/>
        <v/>
      </c>
      <c r="M37" s="9" t="str">
        <f t="shared" si="3"/>
        <v/>
      </c>
      <c r="N37" s="9"/>
      <c r="O37" s="9"/>
      <c r="P37" s="10"/>
      <c r="Q37" s="10"/>
      <c r="R37" s="10"/>
      <c r="S37" s="10"/>
    </row>
    <row r="38" spans="1:19" ht="19.5" customHeight="1" x14ac:dyDescent="0.25">
      <c r="A38" s="5"/>
      <c r="B38" s="5"/>
      <c r="C38" s="5"/>
      <c r="D38" s="6"/>
      <c r="E38" s="7"/>
      <c r="F38" s="7"/>
      <c r="G38" s="7"/>
      <c r="H38" s="7"/>
      <c r="I38" s="5"/>
      <c r="J38" s="7" t="str">
        <f t="shared" si="0"/>
        <v/>
      </c>
      <c r="K38" s="7" t="str">
        <f t="shared" si="1"/>
        <v/>
      </c>
      <c r="L38" s="8" t="str">
        <f t="shared" si="2"/>
        <v/>
      </c>
      <c r="M38" s="5" t="str">
        <f t="shared" si="3"/>
        <v/>
      </c>
      <c r="N38" s="5"/>
      <c r="O38" s="5"/>
      <c r="P38" s="6"/>
      <c r="Q38" s="6"/>
      <c r="R38" s="6"/>
      <c r="S38" s="6"/>
    </row>
    <row r="39" spans="1:19" ht="19.5" customHeight="1" x14ac:dyDescent="0.25">
      <c r="A39" s="9"/>
      <c r="B39" s="9"/>
      <c r="C39" s="9"/>
      <c r="D39" s="10"/>
      <c r="E39" s="11"/>
      <c r="F39" s="11"/>
      <c r="G39" s="11"/>
      <c r="H39" s="11"/>
      <c r="I39" s="9"/>
      <c r="J39" s="11" t="str">
        <f t="shared" ref="J39:J70" si="4">IF(E39="","",I39*(E39-F39))</f>
        <v/>
      </c>
      <c r="K39" s="11" t="str">
        <f t="shared" ref="K39:K70" si="5">IF(H39="","",( H39-E39)*I39)</f>
        <v/>
      </c>
      <c r="L39" s="12" t="str">
        <f t="shared" ref="L39:L70" si="6">IF(OR(E39="",F39="",H39=""),"",( H39-E39)/(E39-F39))</f>
        <v/>
      </c>
      <c r="M39" s="9" t="str">
        <f t="shared" ref="M39:M70" si="7">IF(K39="","",IF(K39&gt;0,"WIN","LOSS"))</f>
        <v/>
      </c>
      <c r="N39" s="9"/>
      <c r="O39" s="9"/>
      <c r="P39" s="10"/>
      <c r="Q39" s="10"/>
      <c r="R39" s="10"/>
      <c r="S39" s="10"/>
    </row>
    <row r="40" spans="1:19" ht="19.5" customHeight="1" x14ac:dyDescent="0.25">
      <c r="A40" s="5"/>
      <c r="B40" s="5"/>
      <c r="C40" s="5"/>
      <c r="D40" s="6"/>
      <c r="E40" s="7"/>
      <c r="F40" s="7"/>
      <c r="G40" s="7"/>
      <c r="H40" s="7"/>
      <c r="I40" s="5"/>
      <c r="J40" s="7" t="str">
        <f t="shared" si="4"/>
        <v/>
      </c>
      <c r="K40" s="7" t="str">
        <f t="shared" si="5"/>
        <v/>
      </c>
      <c r="L40" s="8" t="str">
        <f t="shared" si="6"/>
        <v/>
      </c>
      <c r="M40" s="5" t="str">
        <f t="shared" si="7"/>
        <v/>
      </c>
      <c r="N40" s="5"/>
      <c r="O40" s="5"/>
      <c r="P40" s="6"/>
      <c r="Q40" s="6"/>
      <c r="R40" s="6"/>
      <c r="S40" s="6"/>
    </row>
    <row r="41" spans="1:19" ht="19.5" customHeight="1" x14ac:dyDescent="0.25">
      <c r="A41" s="9"/>
      <c r="B41" s="9"/>
      <c r="C41" s="9"/>
      <c r="D41" s="10"/>
      <c r="E41" s="11"/>
      <c r="F41" s="11"/>
      <c r="G41" s="11"/>
      <c r="H41" s="11"/>
      <c r="I41" s="9"/>
      <c r="J41" s="11" t="str">
        <f t="shared" si="4"/>
        <v/>
      </c>
      <c r="K41" s="11" t="str">
        <f t="shared" si="5"/>
        <v/>
      </c>
      <c r="L41" s="12" t="str">
        <f t="shared" si="6"/>
        <v/>
      </c>
      <c r="M41" s="9" t="str">
        <f t="shared" si="7"/>
        <v/>
      </c>
      <c r="N41" s="9"/>
      <c r="O41" s="9"/>
      <c r="P41" s="10"/>
      <c r="Q41" s="10"/>
      <c r="R41" s="10"/>
      <c r="S41" s="10"/>
    </row>
    <row r="42" spans="1:19" ht="19.5" customHeight="1" x14ac:dyDescent="0.25">
      <c r="A42" s="5"/>
      <c r="B42" s="5"/>
      <c r="C42" s="5"/>
      <c r="D42" s="6"/>
      <c r="E42" s="7"/>
      <c r="F42" s="7"/>
      <c r="G42" s="7"/>
      <c r="H42" s="7"/>
      <c r="I42" s="5"/>
      <c r="J42" s="7" t="str">
        <f t="shared" si="4"/>
        <v/>
      </c>
      <c r="K42" s="7" t="str">
        <f t="shared" si="5"/>
        <v/>
      </c>
      <c r="L42" s="8" t="str">
        <f t="shared" si="6"/>
        <v/>
      </c>
      <c r="M42" s="5" t="str">
        <f t="shared" si="7"/>
        <v/>
      </c>
      <c r="N42" s="5"/>
      <c r="O42" s="5"/>
      <c r="P42" s="6"/>
      <c r="Q42" s="6"/>
      <c r="R42" s="6"/>
      <c r="S42" s="6"/>
    </row>
    <row r="43" spans="1:19" ht="19.5" customHeight="1" x14ac:dyDescent="0.25">
      <c r="A43" s="9"/>
      <c r="B43" s="9"/>
      <c r="C43" s="9"/>
      <c r="D43" s="10"/>
      <c r="E43" s="11"/>
      <c r="F43" s="11"/>
      <c r="G43" s="11"/>
      <c r="H43" s="11"/>
      <c r="I43" s="9"/>
      <c r="J43" s="11" t="str">
        <f t="shared" si="4"/>
        <v/>
      </c>
      <c r="K43" s="11" t="str">
        <f t="shared" si="5"/>
        <v/>
      </c>
      <c r="L43" s="12" t="str">
        <f t="shared" si="6"/>
        <v/>
      </c>
      <c r="M43" s="9" t="str">
        <f t="shared" si="7"/>
        <v/>
      </c>
      <c r="N43" s="9"/>
      <c r="O43" s="9"/>
      <c r="P43" s="10"/>
      <c r="Q43" s="10"/>
      <c r="R43" s="10"/>
      <c r="S43" s="10"/>
    </row>
    <row r="44" spans="1:19" ht="19.5" customHeight="1" x14ac:dyDescent="0.25">
      <c r="A44" s="5"/>
      <c r="B44" s="5"/>
      <c r="C44" s="5"/>
      <c r="D44" s="6"/>
      <c r="E44" s="7"/>
      <c r="F44" s="7"/>
      <c r="G44" s="7"/>
      <c r="H44" s="7"/>
      <c r="I44" s="5"/>
      <c r="J44" s="7" t="str">
        <f t="shared" si="4"/>
        <v/>
      </c>
      <c r="K44" s="7" t="str">
        <f t="shared" si="5"/>
        <v/>
      </c>
      <c r="L44" s="8" t="str">
        <f t="shared" si="6"/>
        <v/>
      </c>
      <c r="M44" s="5" t="str">
        <f t="shared" si="7"/>
        <v/>
      </c>
      <c r="N44" s="5"/>
      <c r="O44" s="5"/>
      <c r="P44" s="6"/>
      <c r="Q44" s="6"/>
      <c r="R44" s="6"/>
      <c r="S44" s="6"/>
    </row>
    <row r="45" spans="1:19" ht="19.5" customHeight="1" x14ac:dyDescent="0.25">
      <c r="A45" s="9"/>
      <c r="B45" s="9"/>
      <c r="C45" s="9"/>
      <c r="D45" s="10"/>
      <c r="E45" s="11"/>
      <c r="F45" s="11"/>
      <c r="G45" s="11"/>
      <c r="H45" s="11"/>
      <c r="I45" s="9"/>
      <c r="J45" s="11" t="str">
        <f t="shared" si="4"/>
        <v/>
      </c>
      <c r="K45" s="11" t="str">
        <f t="shared" si="5"/>
        <v/>
      </c>
      <c r="L45" s="12" t="str">
        <f t="shared" si="6"/>
        <v/>
      </c>
      <c r="M45" s="9" t="str">
        <f t="shared" si="7"/>
        <v/>
      </c>
      <c r="N45" s="9"/>
      <c r="O45" s="9"/>
      <c r="P45" s="10"/>
      <c r="Q45" s="10"/>
      <c r="R45" s="10"/>
      <c r="S45" s="10"/>
    </row>
    <row r="46" spans="1:19" ht="19.5" customHeight="1" x14ac:dyDescent="0.25">
      <c r="A46" s="5"/>
      <c r="B46" s="5"/>
      <c r="C46" s="5"/>
      <c r="D46" s="6"/>
      <c r="E46" s="7"/>
      <c r="F46" s="7"/>
      <c r="G46" s="7"/>
      <c r="H46" s="7"/>
      <c r="I46" s="5"/>
      <c r="J46" s="7" t="str">
        <f t="shared" si="4"/>
        <v/>
      </c>
      <c r="K46" s="7" t="str">
        <f t="shared" si="5"/>
        <v/>
      </c>
      <c r="L46" s="8" t="str">
        <f t="shared" si="6"/>
        <v/>
      </c>
      <c r="M46" s="5" t="str">
        <f t="shared" si="7"/>
        <v/>
      </c>
      <c r="N46" s="5"/>
      <c r="O46" s="5"/>
      <c r="P46" s="6"/>
      <c r="Q46" s="6"/>
      <c r="R46" s="6"/>
      <c r="S46" s="6"/>
    </row>
    <row r="47" spans="1:19" ht="19.5" customHeight="1" x14ac:dyDescent="0.25">
      <c r="A47" s="9"/>
      <c r="B47" s="9"/>
      <c r="C47" s="9"/>
      <c r="D47" s="10"/>
      <c r="E47" s="11"/>
      <c r="F47" s="11"/>
      <c r="G47" s="11"/>
      <c r="H47" s="11"/>
      <c r="I47" s="9"/>
      <c r="J47" s="11" t="str">
        <f t="shared" si="4"/>
        <v/>
      </c>
      <c r="K47" s="11" t="str">
        <f t="shared" si="5"/>
        <v/>
      </c>
      <c r="L47" s="12" t="str">
        <f t="shared" si="6"/>
        <v/>
      </c>
      <c r="M47" s="9" t="str">
        <f t="shared" si="7"/>
        <v/>
      </c>
      <c r="N47" s="9"/>
      <c r="O47" s="9"/>
      <c r="P47" s="10"/>
      <c r="Q47" s="10"/>
      <c r="R47" s="10"/>
      <c r="S47" s="10"/>
    </row>
    <row r="48" spans="1:19" ht="19.5" customHeight="1" x14ac:dyDescent="0.25">
      <c r="A48" s="5"/>
      <c r="B48" s="5"/>
      <c r="C48" s="5"/>
      <c r="D48" s="6"/>
      <c r="E48" s="7"/>
      <c r="F48" s="7"/>
      <c r="G48" s="7"/>
      <c r="H48" s="7"/>
      <c r="I48" s="5"/>
      <c r="J48" s="7" t="str">
        <f t="shared" si="4"/>
        <v/>
      </c>
      <c r="K48" s="7" t="str">
        <f t="shared" si="5"/>
        <v/>
      </c>
      <c r="L48" s="8" t="str">
        <f t="shared" si="6"/>
        <v/>
      </c>
      <c r="M48" s="5" t="str">
        <f t="shared" si="7"/>
        <v/>
      </c>
      <c r="N48" s="5"/>
      <c r="O48" s="5"/>
      <c r="P48" s="6"/>
      <c r="Q48" s="6"/>
      <c r="R48" s="6"/>
      <c r="S48" s="6"/>
    </row>
    <row r="49" spans="1:19" ht="19.5" customHeight="1" x14ac:dyDescent="0.25">
      <c r="A49" s="9"/>
      <c r="B49" s="9"/>
      <c r="C49" s="9"/>
      <c r="D49" s="10"/>
      <c r="E49" s="11"/>
      <c r="F49" s="11"/>
      <c r="G49" s="11"/>
      <c r="H49" s="11"/>
      <c r="I49" s="9"/>
      <c r="J49" s="11" t="str">
        <f t="shared" si="4"/>
        <v/>
      </c>
      <c r="K49" s="11" t="str">
        <f t="shared" si="5"/>
        <v/>
      </c>
      <c r="L49" s="12" t="str">
        <f t="shared" si="6"/>
        <v/>
      </c>
      <c r="M49" s="9" t="str">
        <f t="shared" si="7"/>
        <v/>
      </c>
      <c r="N49" s="9"/>
      <c r="O49" s="9"/>
      <c r="P49" s="10"/>
      <c r="Q49" s="10"/>
      <c r="R49" s="10"/>
      <c r="S49" s="10"/>
    </row>
    <row r="50" spans="1:19" ht="19.5" customHeight="1" x14ac:dyDescent="0.25">
      <c r="A50" s="5"/>
      <c r="B50" s="5"/>
      <c r="C50" s="5"/>
      <c r="D50" s="6"/>
      <c r="E50" s="7"/>
      <c r="F50" s="7"/>
      <c r="G50" s="7"/>
      <c r="H50" s="7"/>
      <c r="I50" s="5"/>
      <c r="J50" s="7" t="str">
        <f t="shared" si="4"/>
        <v/>
      </c>
      <c r="K50" s="7" t="str">
        <f t="shared" si="5"/>
        <v/>
      </c>
      <c r="L50" s="8" t="str">
        <f t="shared" si="6"/>
        <v/>
      </c>
      <c r="M50" s="5" t="str">
        <f t="shared" si="7"/>
        <v/>
      </c>
      <c r="N50" s="5"/>
      <c r="O50" s="5"/>
      <c r="P50" s="6"/>
      <c r="Q50" s="6"/>
      <c r="R50" s="6"/>
      <c r="S50" s="6"/>
    </row>
    <row r="51" spans="1:19" ht="19.5" customHeight="1" x14ac:dyDescent="0.25">
      <c r="A51" s="9"/>
      <c r="B51" s="9"/>
      <c r="C51" s="9"/>
      <c r="D51" s="10"/>
      <c r="E51" s="11"/>
      <c r="F51" s="11"/>
      <c r="G51" s="11"/>
      <c r="H51" s="11"/>
      <c r="I51" s="9"/>
      <c r="J51" s="11" t="str">
        <f t="shared" si="4"/>
        <v/>
      </c>
      <c r="K51" s="11" t="str">
        <f t="shared" si="5"/>
        <v/>
      </c>
      <c r="L51" s="12" t="str">
        <f t="shared" si="6"/>
        <v/>
      </c>
      <c r="M51" s="9" t="str">
        <f t="shared" si="7"/>
        <v/>
      </c>
      <c r="N51" s="9"/>
      <c r="O51" s="9"/>
      <c r="P51" s="10"/>
      <c r="Q51" s="10"/>
      <c r="R51" s="10"/>
      <c r="S51" s="10"/>
    </row>
    <row r="52" spans="1:19" ht="19.5" customHeight="1" x14ac:dyDescent="0.25">
      <c r="A52" s="5"/>
      <c r="B52" s="5"/>
      <c r="C52" s="5"/>
      <c r="D52" s="6"/>
      <c r="E52" s="7"/>
      <c r="F52" s="7"/>
      <c r="G52" s="7"/>
      <c r="H52" s="7"/>
      <c r="I52" s="5"/>
      <c r="J52" s="7" t="str">
        <f t="shared" si="4"/>
        <v/>
      </c>
      <c r="K52" s="7" t="str">
        <f t="shared" si="5"/>
        <v/>
      </c>
      <c r="L52" s="8" t="str">
        <f t="shared" si="6"/>
        <v/>
      </c>
      <c r="M52" s="5" t="str">
        <f t="shared" si="7"/>
        <v/>
      </c>
      <c r="N52" s="5"/>
      <c r="O52" s="5"/>
      <c r="P52" s="6"/>
      <c r="Q52" s="6"/>
      <c r="R52" s="6"/>
      <c r="S52" s="6"/>
    </row>
    <row r="53" spans="1:19" ht="19.5" customHeight="1" x14ac:dyDescent="0.25">
      <c r="A53" s="9"/>
      <c r="B53" s="9"/>
      <c r="C53" s="9"/>
      <c r="D53" s="10"/>
      <c r="E53" s="11"/>
      <c r="F53" s="11"/>
      <c r="G53" s="11"/>
      <c r="H53" s="11"/>
      <c r="I53" s="9"/>
      <c r="J53" s="11" t="str">
        <f t="shared" si="4"/>
        <v/>
      </c>
      <c r="K53" s="11" t="str">
        <f t="shared" si="5"/>
        <v/>
      </c>
      <c r="L53" s="12" t="str">
        <f t="shared" si="6"/>
        <v/>
      </c>
      <c r="M53" s="9" t="str">
        <f t="shared" si="7"/>
        <v/>
      </c>
      <c r="N53" s="9"/>
      <c r="O53" s="9"/>
      <c r="P53" s="10"/>
      <c r="Q53" s="10"/>
      <c r="R53" s="10"/>
      <c r="S53" s="10"/>
    </row>
    <row r="54" spans="1:19" ht="19.5" customHeight="1" x14ac:dyDescent="0.25">
      <c r="A54" s="5"/>
      <c r="B54" s="5"/>
      <c r="C54" s="5"/>
      <c r="D54" s="6"/>
      <c r="E54" s="7"/>
      <c r="F54" s="7"/>
      <c r="G54" s="7"/>
      <c r="H54" s="7"/>
      <c r="I54" s="5"/>
      <c r="J54" s="7" t="str">
        <f t="shared" si="4"/>
        <v/>
      </c>
      <c r="K54" s="7" t="str">
        <f t="shared" si="5"/>
        <v/>
      </c>
      <c r="L54" s="8" t="str">
        <f t="shared" si="6"/>
        <v/>
      </c>
      <c r="M54" s="5" t="str">
        <f t="shared" si="7"/>
        <v/>
      </c>
      <c r="N54" s="5"/>
      <c r="O54" s="5"/>
      <c r="P54" s="6"/>
      <c r="Q54" s="6"/>
      <c r="R54" s="6"/>
      <c r="S54" s="6"/>
    </row>
    <row r="55" spans="1:19" ht="19.5" customHeight="1" x14ac:dyDescent="0.25">
      <c r="A55" s="9"/>
      <c r="B55" s="9"/>
      <c r="C55" s="9"/>
      <c r="D55" s="10"/>
      <c r="E55" s="11"/>
      <c r="F55" s="11"/>
      <c r="G55" s="11"/>
      <c r="H55" s="11"/>
      <c r="I55" s="9"/>
      <c r="J55" s="11" t="str">
        <f t="shared" si="4"/>
        <v/>
      </c>
      <c r="K55" s="11" t="str">
        <f t="shared" si="5"/>
        <v/>
      </c>
      <c r="L55" s="12" t="str">
        <f t="shared" si="6"/>
        <v/>
      </c>
      <c r="M55" s="9" t="str">
        <f t="shared" si="7"/>
        <v/>
      </c>
      <c r="N55" s="9"/>
      <c r="O55" s="9"/>
      <c r="P55" s="10"/>
      <c r="Q55" s="10"/>
      <c r="R55" s="10"/>
      <c r="S55" s="10"/>
    </row>
    <row r="56" spans="1:19" ht="19.5" customHeight="1" x14ac:dyDescent="0.25">
      <c r="A56" s="5"/>
      <c r="B56" s="5"/>
      <c r="C56" s="5"/>
      <c r="D56" s="6"/>
      <c r="E56" s="7"/>
      <c r="F56" s="7"/>
      <c r="G56" s="7"/>
      <c r="H56" s="7"/>
      <c r="I56" s="5"/>
      <c r="J56" s="7" t="str">
        <f t="shared" si="4"/>
        <v/>
      </c>
      <c r="K56" s="7" t="str">
        <f t="shared" si="5"/>
        <v/>
      </c>
      <c r="L56" s="8" t="str">
        <f t="shared" si="6"/>
        <v/>
      </c>
      <c r="M56" s="5" t="str">
        <f t="shared" si="7"/>
        <v/>
      </c>
      <c r="N56" s="5"/>
      <c r="O56" s="5"/>
      <c r="P56" s="6"/>
      <c r="Q56" s="6"/>
      <c r="R56" s="6"/>
      <c r="S56" s="6"/>
    </row>
    <row r="57" spans="1:19" ht="19.5" customHeight="1" x14ac:dyDescent="0.25">
      <c r="A57" s="9"/>
      <c r="B57" s="9"/>
      <c r="C57" s="9"/>
      <c r="D57" s="10"/>
      <c r="E57" s="11"/>
      <c r="F57" s="11"/>
      <c r="G57" s="11"/>
      <c r="H57" s="11"/>
      <c r="I57" s="9"/>
      <c r="J57" s="11" t="str">
        <f t="shared" si="4"/>
        <v/>
      </c>
      <c r="K57" s="11" t="str">
        <f t="shared" si="5"/>
        <v/>
      </c>
      <c r="L57" s="12" t="str">
        <f t="shared" si="6"/>
        <v/>
      </c>
      <c r="M57" s="9" t="str">
        <f t="shared" si="7"/>
        <v/>
      </c>
      <c r="N57" s="9"/>
      <c r="O57" s="9"/>
      <c r="P57" s="10"/>
      <c r="Q57" s="10"/>
      <c r="R57" s="10"/>
      <c r="S57" s="10"/>
    </row>
    <row r="58" spans="1:19" ht="19.5" customHeight="1" x14ac:dyDescent="0.25">
      <c r="A58" s="5"/>
      <c r="B58" s="5"/>
      <c r="C58" s="5"/>
      <c r="D58" s="6"/>
      <c r="E58" s="7"/>
      <c r="F58" s="7"/>
      <c r="G58" s="7"/>
      <c r="H58" s="7"/>
      <c r="I58" s="5"/>
      <c r="J58" s="7" t="str">
        <f t="shared" si="4"/>
        <v/>
      </c>
      <c r="K58" s="7" t="str">
        <f t="shared" si="5"/>
        <v/>
      </c>
      <c r="L58" s="8" t="str">
        <f t="shared" si="6"/>
        <v/>
      </c>
      <c r="M58" s="5" t="str">
        <f t="shared" si="7"/>
        <v/>
      </c>
      <c r="N58" s="5"/>
      <c r="O58" s="5"/>
      <c r="P58" s="6"/>
      <c r="Q58" s="6"/>
      <c r="R58" s="6"/>
      <c r="S58" s="6"/>
    </row>
    <row r="59" spans="1:19" ht="19.5" customHeight="1" x14ac:dyDescent="0.25">
      <c r="A59" s="9"/>
      <c r="B59" s="9"/>
      <c r="C59" s="9"/>
      <c r="D59" s="10"/>
      <c r="E59" s="11"/>
      <c r="F59" s="11"/>
      <c r="G59" s="11"/>
      <c r="H59" s="11"/>
      <c r="I59" s="9"/>
      <c r="J59" s="11" t="str">
        <f t="shared" si="4"/>
        <v/>
      </c>
      <c r="K59" s="11" t="str">
        <f t="shared" si="5"/>
        <v/>
      </c>
      <c r="L59" s="12" t="str">
        <f t="shared" si="6"/>
        <v/>
      </c>
      <c r="M59" s="9" t="str">
        <f t="shared" si="7"/>
        <v/>
      </c>
      <c r="N59" s="9"/>
      <c r="O59" s="9"/>
      <c r="P59" s="10"/>
      <c r="Q59" s="10"/>
      <c r="R59" s="10"/>
      <c r="S59" s="10"/>
    </row>
    <row r="60" spans="1:19" ht="19.5" customHeight="1" x14ac:dyDescent="0.25">
      <c r="A60" s="5"/>
      <c r="B60" s="5"/>
      <c r="C60" s="5"/>
      <c r="D60" s="6"/>
      <c r="E60" s="7"/>
      <c r="F60" s="7"/>
      <c r="G60" s="7"/>
      <c r="H60" s="7"/>
      <c r="I60" s="5"/>
      <c r="J60" s="7" t="str">
        <f t="shared" si="4"/>
        <v/>
      </c>
      <c r="K60" s="7" t="str">
        <f t="shared" si="5"/>
        <v/>
      </c>
      <c r="L60" s="8" t="str">
        <f t="shared" si="6"/>
        <v/>
      </c>
      <c r="M60" s="5" t="str">
        <f t="shared" si="7"/>
        <v/>
      </c>
      <c r="N60" s="5"/>
      <c r="O60" s="5"/>
      <c r="P60" s="6"/>
      <c r="Q60" s="6"/>
      <c r="R60" s="6"/>
      <c r="S60" s="6"/>
    </row>
    <row r="61" spans="1:19" ht="19.5" customHeight="1" x14ac:dyDescent="0.25">
      <c r="A61" s="9"/>
      <c r="B61" s="9"/>
      <c r="C61" s="9"/>
      <c r="D61" s="10"/>
      <c r="E61" s="11"/>
      <c r="F61" s="11"/>
      <c r="G61" s="11"/>
      <c r="H61" s="11"/>
      <c r="I61" s="9"/>
      <c r="J61" s="11" t="str">
        <f t="shared" si="4"/>
        <v/>
      </c>
      <c r="K61" s="11" t="str">
        <f t="shared" si="5"/>
        <v/>
      </c>
      <c r="L61" s="12" t="str">
        <f t="shared" si="6"/>
        <v/>
      </c>
      <c r="M61" s="9" t="str">
        <f t="shared" si="7"/>
        <v/>
      </c>
      <c r="N61" s="9"/>
      <c r="O61" s="9"/>
      <c r="P61" s="10"/>
      <c r="Q61" s="10"/>
      <c r="R61" s="10"/>
      <c r="S61" s="10"/>
    </row>
    <row r="62" spans="1:19" ht="19.5" customHeight="1" x14ac:dyDescent="0.25">
      <c r="A62" s="5"/>
      <c r="B62" s="5"/>
      <c r="C62" s="5"/>
      <c r="D62" s="6"/>
      <c r="E62" s="7"/>
      <c r="F62" s="7"/>
      <c r="G62" s="7"/>
      <c r="H62" s="7"/>
      <c r="I62" s="5"/>
      <c r="J62" s="7" t="str">
        <f t="shared" si="4"/>
        <v/>
      </c>
      <c r="K62" s="7" t="str">
        <f t="shared" si="5"/>
        <v/>
      </c>
      <c r="L62" s="8" t="str">
        <f t="shared" si="6"/>
        <v/>
      </c>
      <c r="M62" s="5" t="str">
        <f t="shared" si="7"/>
        <v/>
      </c>
      <c r="N62" s="5"/>
      <c r="O62" s="5"/>
      <c r="P62" s="6"/>
      <c r="Q62" s="6"/>
      <c r="R62" s="6"/>
      <c r="S62" s="6"/>
    </row>
    <row r="63" spans="1:19" ht="19.5" customHeight="1" x14ac:dyDescent="0.25">
      <c r="A63" s="9"/>
      <c r="B63" s="9"/>
      <c r="C63" s="9"/>
      <c r="D63" s="10"/>
      <c r="E63" s="11"/>
      <c r="F63" s="11"/>
      <c r="G63" s="11"/>
      <c r="H63" s="11"/>
      <c r="I63" s="9"/>
      <c r="J63" s="11" t="str">
        <f t="shared" si="4"/>
        <v/>
      </c>
      <c r="K63" s="11" t="str">
        <f t="shared" si="5"/>
        <v/>
      </c>
      <c r="L63" s="12" t="str">
        <f t="shared" si="6"/>
        <v/>
      </c>
      <c r="M63" s="9" t="str">
        <f t="shared" si="7"/>
        <v/>
      </c>
      <c r="N63" s="9"/>
      <c r="O63" s="9"/>
      <c r="P63" s="10"/>
      <c r="Q63" s="10"/>
      <c r="R63" s="10"/>
      <c r="S63" s="10"/>
    </row>
    <row r="64" spans="1:19" ht="19.5" customHeight="1" x14ac:dyDescent="0.25">
      <c r="A64" s="5"/>
      <c r="B64" s="5"/>
      <c r="C64" s="5"/>
      <c r="D64" s="6"/>
      <c r="E64" s="7"/>
      <c r="F64" s="7"/>
      <c r="G64" s="7"/>
      <c r="H64" s="7"/>
      <c r="I64" s="5"/>
      <c r="J64" s="7" t="str">
        <f t="shared" si="4"/>
        <v/>
      </c>
      <c r="K64" s="7" t="str">
        <f t="shared" si="5"/>
        <v/>
      </c>
      <c r="L64" s="8" t="str">
        <f t="shared" si="6"/>
        <v/>
      </c>
      <c r="M64" s="5" t="str">
        <f t="shared" si="7"/>
        <v/>
      </c>
      <c r="N64" s="5"/>
      <c r="O64" s="5"/>
      <c r="P64" s="6"/>
      <c r="Q64" s="6"/>
      <c r="R64" s="6"/>
      <c r="S64" s="6"/>
    </row>
    <row r="65" spans="1:19" ht="19.5" customHeight="1" x14ac:dyDescent="0.25">
      <c r="A65" s="9"/>
      <c r="B65" s="9"/>
      <c r="C65" s="9"/>
      <c r="D65" s="10"/>
      <c r="E65" s="11"/>
      <c r="F65" s="11"/>
      <c r="G65" s="11"/>
      <c r="H65" s="11"/>
      <c r="I65" s="9"/>
      <c r="J65" s="11" t="str">
        <f t="shared" si="4"/>
        <v/>
      </c>
      <c r="K65" s="11" t="str">
        <f t="shared" si="5"/>
        <v/>
      </c>
      <c r="L65" s="12" t="str">
        <f t="shared" si="6"/>
        <v/>
      </c>
      <c r="M65" s="9" t="str">
        <f t="shared" si="7"/>
        <v/>
      </c>
      <c r="N65" s="9"/>
      <c r="O65" s="9"/>
      <c r="P65" s="10"/>
      <c r="Q65" s="10"/>
      <c r="R65" s="10"/>
      <c r="S65" s="10"/>
    </row>
    <row r="66" spans="1:19" ht="19.5" customHeight="1" x14ac:dyDescent="0.25">
      <c r="A66" s="5"/>
      <c r="B66" s="5"/>
      <c r="C66" s="5"/>
      <c r="D66" s="6"/>
      <c r="E66" s="7"/>
      <c r="F66" s="7"/>
      <c r="G66" s="7"/>
      <c r="H66" s="7"/>
      <c r="I66" s="5"/>
      <c r="J66" s="7" t="str">
        <f t="shared" si="4"/>
        <v/>
      </c>
      <c r="K66" s="7" t="str">
        <f t="shared" si="5"/>
        <v/>
      </c>
      <c r="L66" s="8" t="str">
        <f t="shared" si="6"/>
        <v/>
      </c>
      <c r="M66" s="5" t="str">
        <f t="shared" si="7"/>
        <v/>
      </c>
      <c r="N66" s="5"/>
      <c r="O66" s="5"/>
      <c r="P66" s="6"/>
      <c r="Q66" s="6"/>
      <c r="R66" s="6"/>
      <c r="S66" s="6"/>
    </row>
    <row r="67" spans="1:19" ht="19.5" customHeight="1" x14ac:dyDescent="0.25">
      <c r="A67" s="9"/>
      <c r="B67" s="9"/>
      <c r="C67" s="9"/>
      <c r="D67" s="10"/>
      <c r="E67" s="11"/>
      <c r="F67" s="11"/>
      <c r="G67" s="11"/>
      <c r="H67" s="11"/>
      <c r="I67" s="9"/>
      <c r="J67" s="11" t="str">
        <f t="shared" si="4"/>
        <v/>
      </c>
      <c r="K67" s="11" t="str">
        <f t="shared" si="5"/>
        <v/>
      </c>
      <c r="L67" s="12" t="str">
        <f t="shared" si="6"/>
        <v/>
      </c>
      <c r="M67" s="9" t="str">
        <f t="shared" si="7"/>
        <v/>
      </c>
      <c r="N67" s="9"/>
      <c r="O67" s="9"/>
      <c r="P67" s="10"/>
      <c r="Q67" s="10"/>
      <c r="R67" s="10"/>
      <c r="S67" s="10"/>
    </row>
    <row r="68" spans="1:19" ht="19.5" customHeight="1" x14ac:dyDescent="0.25">
      <c r="A68" s="5"/>
      <c r="B68" s="5"/>
      <c r="C68" s="5"/>
      <c r="D68" s="6"/>
      <c r="E68" s="7"/>
      <c r="F68" s="7"/>
      <c r="G68" s="7"/>
      <c r="H68" s="7"/>
      <c r="I68" s="5"/>
      <c r="J68" s="7" t="str">
        <f t="shared" si="4"/>
        <v/>
      </c>
      <c r="K68" s="7" t="str">
        <f t="shared" si="5"/>
        <v/>
      </c>
      <c r="L68" s="8" t="str">
        <f t="shared" si="6"/>
        <v/>
      </c>
      <c r="M68" s="5" t="str">
        <f t="shared" si="7"/>
        <v/>
      </c>
      <c r="N68" s="5"/>
      <c r="O68" s="5"/>
      <c r="P68" s="6"/>
      <c r="Q68" s="6"/>
      <c r="R68" s="6"/>
      <c r="S68" s="6"/>
    </row>
    <row r="69" spans="1:19" ht="19.5" customHeight="1" x14ac:dyDescent="0.25">
      <c r="A69" s="9"/>
      <c r="B69" s="9"/>
      <c r="C69" s="9"/>
      <c r="D69" s="10"/>
      <c r="E69" s="11"/>
      <c r="F69" s="11"/>
      <c r="G69" s="11"/>
      <c r="H69" s="11"/>
      <c r="I69" s="9"/>
      <c r="J69" s="11" t="str">
        <f t="shared" si="4"/>
        <v/>
      </c>
      <c r="K69" s="11" t="str">
        <f t="shared" si="5"/>
        <v/>
      </c>
      <c r="L69" s="12" t="str">
        <f t="shared" si="6"/>
        <v/>
      </c>
      <c r="M69" s="9" t="str">
        <f t="shared" si="7"/>
        <v/>
      </c>
      <c r="N69" s="9"/>
      <c r="O69" s="9"/>
      <c r="P69" s="10"/>
      <c r="Q69" s="10"/>
      <c r="R69" s="10"/>
      <c r="S69" s="10"/>
    </row>
    <row r="70" spans="1:19" ht="19.5" customHeight="1" x14ac:dyDescent="0.25">
      <c r="A70" s="5"/>
      <c r="B70" s="5"/>
      <c r="C70" s="5"/>
      <c r="D70" s="6"/>
      <c r="E70" s="7"/>
      <c r="F70" s="7"/>
      <c r="G70" s="7"/>
      <c r="H70" s="7"/>
      <c r="I70" s="5"/>
      <c r="J70" s="7" t="str">
        <f t="shared" si="4"/>
        <v/>
      </c>
      <c r="K70" s="7" t="str">
        <f t="shared" si="5"/>
        <v/>
      </c>
      <c r="L70" s="8" t="str">
        <f t="shared" si="6"/>
        <v/>
      </c>
      <c r="M70" s="5" t="str">
        <f t="shared" si="7"/>
        <v/>
      </c>
      <c r="N70" s="5"/>
      <c r="O70" s="5"/>
      <c r="P70" s="6"/>
      <c r="Q70" s="6"/>
      <c r="R70" s="6"/>
      <c r="S70" s="6"/>
    </row>
    <row r="71" spans="1:19" ht="19.5" customHeight="1" x14ac:dyDescent="0.25">
      <c r="A71" s="9"/>
      <c r="B71" s="9"/>
      <c r="C71" s="9"/>
      <c r="D71" s="10"/>
      <c r="E71" s="11"/>
      <c r="F71" s="11"/>
      <c r="G71" s="11"/>
      <c r="H71" s="11"/>
      <c r="I71" s="9"/>
      <c r="J71" s="11" t="str">
        <f t="shared" ref="J71:J102" si="8">IF(E71="","",I71*(E71-F71))</f>
        <v/>
      </c>
      <c r="K71" s="11" t="str">
        <f t="shared" ref="K71:K106" si="9">IF(H71="","",( H71-E71)*I71)</f>
        <v/>
      </c>
      <c r="L71" s="12" t="str">
        <f t="shared" ref="L71:L106" si="10">IF(OR(E71="",F71="",H71=""),"",( H71-E71)/(E71-F71))</f>
        <v/>
      </c>
      <c r="M71" s="9" t="str">
        <f t="shared" ref="M71:M106" si="11">IF(K71="","",IF(K71&gt;0,"WIN","LOSS"))</f>
        <v/>
      </c>
      <c r="N71" s="9"/>
      <c r="O71" s="9"/>
      <c r="P71" s="10"/>
      <c r="Q71" s="10"/>
      <c r="R71" s="10"/>
      <c r="S71" s="10"/>
    </row>
    <row r="72" spans="1:19" ht="19.5" customHeight="1" x14ac:dyDescent="0.25">
      <c r="A72" s="5"/>
      <c r="B72" s="5"/>
      <c r="C72" s="5"/>
      <c r="D72" s="6"/>
      <c r="E72" s="7"/>
      <c r="F72" s="7"/>
      <c r="G72" s="7"/>
      <c r="H72" s="7"/>
      <c r="I72" s="5"/>
      <c r="J72" s="7" t="str">
        <f t="shared" si="8"/>
        <v/>
      </c>
      <c r="K72" s="7" t="str">
        <f t="shared" si="9"/>
        <v/>
      </c>
      <c r="L72" s="8" t="str">
        <f t="shared" si="10"/>
        <v/>
      </c>
      <c r="M72" s="5" t="str">
        <f t="shared" si="11"/>
        <v/>
      </c>
      <c r="N72" s="5"/>
      <c r="O72" s="5"/>
      <c r="P72" s="6"/>
      <c r="Q72" s="6"/>
      <c r="R72" s="6"/>
      <c r="S72" s="6"/>
    </row>
    <row r="73" spans="1:19" ht="19.5" customHeight="1" x14ac:dyDescent="0.25">
      <c r="A73" s="9"/>
      <c r="B73" s="9"/>
      <c r="C73" s="9"/>
      <c r="D73" s="10"/>
      <c r="E73" s="11"/>
      <c r="F73" s="11"/>
      <c r="G73" s="11"/>
      <c r="H73" s="11"/>
      <c r="I73" s="9"/>
      <c r="J73" s="11" t="str">
        <f t="shared" si="8"/>
        <v/>
      </c>
      <c r="K73" s="11" t="str">
        <f t="shared" si="9"/>
        <v/>
      </c>
      <c r="L73" s="12" t="str">
        <f t="shared" si="10"/>
        <v/>
      </c>
      <c r="M73" s="9" t="str">
        <f t="shared" si="11"/>
        <v/>
      </c>
      <c r="N73" s="9"/>
      <c r="O73" s="9"/>
      <c r="P73" s="10"/>
      <c r="Q73" s="10"/>
      <c r="R73" s="10"/>
      <c r="S73" s="10"/>
    </row>
    <row r="74" spans="1:19" ht="19.5" customHeight="1" x14ac:dyDescent="0.25">
      <c r="A74" s="5"/>
      <c r="B74" s="5"/>
      <c r="C74" s="5"/>
      <c r="D74" s="6"/>
      <c r="E74" s="7"/>
      <c r="F74" s="7"/>
      <c r="G74" s="7"/>
      <c r="H74" s="7"/>
      <c r="I74" s="5"/>
      <c r="J74" s="7" t="str">
        <f t="shared" si="8"/>
        <v/>
      </c>
      <c r="K74" s="7" t="str">
        <f t="shared" si="9"/>
        <v/>
      </c>
      <c r="L74" s="8" t="str">
        <f t="shared" si="10"/>
        <v/>
      </c>
      <c r="M74" s="5" t="str">
        <f t="shared" si="11"/>
        <v/>
      </c>
      <c r="N74" s="5"/>
      <c r="O74" s="5"/>
      <c r="P74" s="6"/>
      <c r="Q74" s="6"/>
      <c r="R74" s="6"/>
      <c r="S74" s="6"/>
    </row>
    <row r="75" spans="1:19" ht="19.5" customHeight="1" x14ac:dyDescent="0.25">
      <c r="A75" s="9"/>
      <c r="B75" s="9"/>
      <c r="C75" s="9"/>
      <c r="D75" s="10"/>
      <c r="E75" s="11"/>
      <c r="F75" s="11"/>
      <c r="G75" s="11"/>
      <c r="H75" s="11"/>
      <c r="I75" s="9"/>
      <c r="J75" s="11" t="str">
        <f t="shared" si="8"/>
        <v/>
      </c>
      <c r="K75" s="11" t="str">
        <f t="shared" si="9"/>
        <v/>
      </c>
      <c r="L75" s="12" t="str">
        <f t="shared" si="10"/>
        <v/>
      </c>
      <c r="M75" s="9" t="str">
        <f t="shared" si="11"/>
        <v/>
      </c>
      <c r="N75" s="9"/>
      <c r="O75" s="9"/>
      <c r="P75" s="10"/>
      <c r="Q75" s="10"/>
      <c r="R75" s="10"/>
      <c r="S75" s="10"/>
    </row>
    <row r="76" spans="1:19" ht="19.5" customHeight="1" x14ac:dyDescent="0.25">
      <c r="A76" s="5"/>
      <c r="B76" s="5"/>
      <c r="C76" s="5"/>
      <c r="D76" s="6"/>
      <c r="E76" s="7"/>
      <c r="F76" s="7"/>
      <c r="G76" s="7"/>
      <c r="H76" s="7"/>
      <c r="I76" s="5"/>
      <c r="J76" s="7" t="str">
        <f t="shared" si="8"/>
        <v/>
      </c>
      <c r="K76" s="7" t="str">
        <f t="shared" si="9"/>
        <v/>
      </c>
      <c r="L76" s="8" t="str">
        <f t="shared" si="10"/>
        <v/>
      </c>
      <c r="M76" s="5" t="str">
        <f t="shared" si="11"/>
        <v/>
      </c>
      <c r="N76" s="5"/>
      <c r="O76" s="5"/>
      <c r="P76" s="6"/>
      <c r="Q76" s="6"/>
      <c r="R76" s="6"/>
      <c r="S76" s="6"/>
    </row>
    <row r="77" spans="1:19" ht="19.5" customHeight="1" x14ac:dyDescent="0.25">
      <c r="A77" s="9"/>
      <c r="B77" s="9"/>
      <c r="C77" s="9"/>
      <c r="D77" s="10"/>
      <c r="E77" s="11"/>
      <c r="F77" s="11"/>
      <c r="G77" s="11"/>
      <c r="H77" s="11"/>
      <c r="I77" s="9"/>
      <c r="J77" s="11" t="str">
        <f t="shared" si="8"/>
        <v/>
      </c>
      <c r="K77" s="11" t="str">
        <f t="shared" si="9"/>
        <v/>
      </c>
      <c r="L77" s="12" t="str">
        <f t="shared" si="10"/>
        <v/>
      </c>
      <c r="M77" s="9" t="str">
        <f t="shared" si="11"/>
        <v/>
      </c>
      <c r="N77" s="9"/>
      <c r="O77" s="9"/>
      <c r="P77" s="10"/>
      <c r="Q77" s="10"/>
      <c r="R77" s="10"/>
      <c r="S77" s="10"/>
    </row>
    <row r="78" spans="1:19" ht="19.5" customHeight="1" x14ac:dyDescent="0.25">
      <c r="A78" s="5"/>
      <c r="B78" s="5"/>
      <c r="C78" s="5"/>
      <c r="D78" s="6"/>
      <c r="E78" s="7"/>
      <c r="F78" s="7"/>
      <c r="G78" s="7"/>
      <c r="H78" s="7"/>
      <c r="I78" s="5"/>
      <c r="J78" s="7" t="str">
        <f t="shared" si="8"/>
        <v/>
      </c>
      <c r="K78" s="7" t="str">
        <f t="shared" si="9"/>
        <v/>
      </c>
      <c r="L78" s="8" t="str">
        <f t="shared" si="10"/>
        <v/>
      </c>
      <c r="M78" s="5" t="str">
        <f t="shared" si="11"/>
        <v/>
      </c>
      <c r="N78" s="5"/>
      <c r="O78" s="5"/>
      <c r="P78" s="6"/>
      <c r="Q78" s="6"/>
      <c r="R78" s="6"/>
      <c r="S78" s="6"/>
    </row>
    <row r="79" spans="1:19" ht="19.5" customHeight="1" x14ac:dyDescent="0.25">
      <c r="A79" s="9"/>
      <c r="B79" s="9"/>
      <c r="C79" s="9"/>
      <c r="D79" s="10"/>
      <c r="E79" s="11"/>
      <c r="F79" s="11"/>
      <c r="G79" s="11"/>
      <c r="H79" s="11"/>
      <c r="I79" s="9"/>
      <c r="J79" s="11" t="str">
        <f t="shared" si="8"/>
        <v/>
      </c>
      <c r="K79" s="11" t="str">
        <f t="shared" si="9"/>
        <v/>
      </c>
      <c r="L79" s="12" t="str">
        <f t="shared" si="10"/>
        <v/>
      </c>
      <c r="M79" s="9" t="str">
        <f t="shared" si="11"/>
        <v/>
      </c>
      <c r="N79" s="9"/>
      <c r="O79" s="9"/>
      <c r="P79" s="10"/>
      <c r="Q79" s="10"/>
      <c r="R79" s="10"/>
      <c r="S79" s="10"/>
    </row>
    <row r="80" spans="1:19" ht="19.5" customHeight="1" x14ac:dyDescent="0.25">
      <c r="A80" s="5"/>
      <c r="B80" s="5"/>
      <c r="C80" s="5"/>
      <c r="D80" s="6"/>
      <c r="E80" s="7"/>
      <c r="F80" s="7"/>
      <c r="G80" s="7"/>
      <c r="H80" s="7"/>
      <c r="I80" s="5"/>
      <c r="J80" s="7" t="str">
        <f t="shared" si="8"/>
        <v/>
      </c>
      <c r="K80" s="7" t="str">
        <f t="shared" si="9"/>
        <v/>
      </c>
      <c r="L80" s="8" t="str">
        <f t="shared" si="10"/>
        <v/>
      </c>
      <c r="M80" s="5" t="str">
        <f t="shared" si="11"/>
        <v/>
      </c>
      <c r="N80" s="5"/>
      <c r="O80" s="5"/>
      <c r="P80" s="6"/>
      <c r="Q80" s="6"/>
      <c r="R80" s="6"/>
      <c r="S80" s="6"/>
    </row>
    <row r="81" spans="1:19" ht="19.5" customHeight="1" x14ac:dyDescent="0.25">
      <c r="A81" s="9"/>
      <c r="B81" s="9"/>
      <c r="C81" s="9"/>
      <c r="D81" s="10"/>
      <c r="E81" s="11"/>
      <c r="F81" s="11"/>
      <c r="G81" s="11"/>
      <c r="H81" s="11"/>
      <c r="I81" s="9"/>
      <c r="J81" s="11" t="str">
        <f t="shared" si="8"/>
        <v/>
      </c>
      <c r="K81" s="11" t="str">
        <f t="shared" si="9"/>
        <v/>
      </c>
      <c r="L81" s="12" t="str">
        <f t="shared" si="10"/>
        <v/>
      </c>
      <c r="M81" s="9" t="str">
        <f t="shared" si="11"/>
        <v/>
      </c>
      <c r="N81" s="9"/>
      <c r="O81" s="9"/>
      <c r="P81" s="10"/>
      <c r="Q81" s="10"/>
      <c r="R81" s="10"/>
      <c r="S81" s="10"/>
    </row>
    <row r="82" spans="1:19" ht="19.5" customHeight="1" x14ac:dyDescent="0.25">
      <c r="A82" s="5"/>
      <c r="B82" s="5"/>
      <c r="C82" s="5"/>
      <c r="D82" s="6"/>
      <c r="E82" s="7"/>
      <c r="F82" s="7"/>
      <c r="G82" s="7"/>
      <c r="H82" s="7"/>
      <c r="I82" s="5"/>
      <c r="J82" s="7" t="str">
        <f t="shared" si="8"/>
        <v/>
      </c>
      <c r="K82" s="7" t="str">
        <f t="shared" si="9"/>
        <v/>
      </c>
      <c r="L82" s="8" t="str">
        <f t="shared" si="10"/>
        <v/>
      </c>
      <c r="M82" s="5" t="str">
        <f t="shared" si="11"/>
        <v/>
      </c>
      <c r="N82" s="5"/>
      <c r="O82" s="5"/>
      <c r="P82" s="6"/>
      <c r="Q82" s="6"/>
      <c r="R82" s="6"/>
      <c r="S82" s="6"/>
    </row>
    <row r="83" spans="1:19" ht="19.5" customHeight="1" x14ac:dyDescent="0.25">
      <c r="A83" s="9"/>
      <c r="B83" s="9"/>
      <c r="C83" s="9"/>
      <c r="D83" s="10"/>
      <c r="E83" s="11"/>
      <c r="F83" s="11"/>
      <c r="G83" s="11"/>
      <c r="H83" s="11"/>
      <c r="I83" s="9"/>
      <c r="J83" s="11" t="str">
        <f t="shared" si="8"/>
        <v/>
      </c>
      <c r="K83" s="11" t="str">
        <f t="shared" si="9"/>
        <v/>
      </c>
      <c r="L83" s="12" t="str">
        <f t="shared" si="10"/>
        <v/>
      </c>
      <c r="M83" s="9" t="str">
        <f t="shared" si="11"/>
        <v/>
      </c>
      <c r="N83" s="9"/>
      <c r="O83" s="9"/>
      <c r="P83" s="10"/>
      <c r="Q83" s="10"/>
      <c r="R83" s="10"/>
      <c r="S83" s="10"/>
    </row>
    <row r="84" spans="1:19" ht="19.5" customHeight="1" x14ac:dyDescent="0.25">
      <c r="A84" s="5"/>
      <c r="B84" s="5"/>
      <c r="C84" s="5"/>
      <c r="D84" s="6"/>
      <c r="E84" s="7"/>
      <c r="F84" s="7"/>
      <c r="G84" s="7"/>
      <c r="H84" s="7"/>
      <c r="I84" s="5"/>
      <c r="J84" s="7" t="str">
        <f t="shared" si="8"/>
        <v/>
      </c>
      <c r="K84" s="7" t="str">
        <f t="shared" si="9"/>
        <v/>
      </c>
      <c r="L84" s="8" t="str">
        <f t="shared" si="10"/>
        <v/>
      </c>
      <c r="M84" s="5" t="str">
        <f t="shared" si="11"/>
        <v/>
      </c>
      <c r="N84" s="5"/>
      <c r="O84" s="5"/>
      <c r="P84" s="6"/>
      <c r="Q84" s="6"/>
      <c r="R84" s="6"/>
      <c r="S84" s="6"/>
    </row>
    <row r="85" spans="1:19" ht="19.5" customHeight="1" x14ac:dyDescent="0.25">
      <c r="A85" s="9"/>
      <c r="B85" s="9"/>
      <c r="C85" s="9"/>
      <c r="D85" s="10"/>
      <c r="E85" s="11"/>
      <c r="F85" s="11"/>
      <c r="G85" s="11"/>
      <c r="H85" s="11"/>
      <c r="I85" s="9"/>
      <c r="J85" s="11" t="str">
        <f t="shared" si="8"/>
        <v/>
      </c>
      <c r="K85" s="11" t="str">
        <f t="shared" si="9"/>
        <v/>
      </c>
      <c r="L85" s="12" t="str">
        <f t="shared" si="10"/>
        <v/>
      </c>
      <c r="M85" s="9" t="str">
        <f t="shared" si="11"/>
        <v/>
      </c>
      <c r="N85" s="9"/>
      <c r="O85" s="9"/>
      <c r="P85" s="10"/>
      <c r="Q85" s="10"/>
      <c r="R85" s="10"/>
      <c r="S85" s="10"/>
    </row>
    <row r="86" spans="1:19" ht="19.5" customHeight="1" x14ac:dyDescent="0.25">
      <c r="A86" s="5"/>
      <c r="B86" s="5"/>
      <c r="C86" s="5"/>
      <c r="D86" s="6"/>
      <c r="E86" s="7"/>
      <c r="F86" s="7"/>
      <c r="G86" s="7"/>
      <c r="H86" s="7"/>
      <c r="I86" s="5"/>
      <c r="J86" s="7" t="str">
        <f t="shared" si="8"/>
        <v/>
      </c>
      <c r="K86" s="7" t="str">
        <f t="shared" si="9"/>
        <v/>
      </c>
      <c r="L86" s="8" t="str">
        <f t="shared" si="10"/>
        <v/>
      </c>
      <c r="M86" s="5" t="str">
        <f t="shared" si="11"/>
        <v/>
      </c>
      <c r="N86" s="5"/>
      <c r="O86" s="5"/>
      <c r="P86" s="6"/>
      <c r="Q86" s="6"/>
      <c r="R86" s="6"/>
      <c r="S86" s="6"/>
    </row>
    <row r="87" spans="1:19" ht="19.5" customHeight="1" x14ac:dyDescent="0.25">
      <c r="A87" s="9"/>
      <c r="B87" s="9"/>
      <c r="C87" s="9"/>
      <c r="D87" s="10"/>
      <c r="E87" s="11"/>
      <c r="F87" s="11"/>
      <c r="G87" s="11"/>
      <c r="H87" s="11"/>
      <c r="I87" s="9"/>
      <c r="J87" s="11" t="str">
        <f t="shared" si="8"/>
        <v/>
      </c>
      <c r="K87" s="11" t="str">
        <f t="shared" si="9"/>
        <v/>
      </c>
      <c r="L87" s="12" t="str">
        <f t="shared" si="10"/>
        <v/>
      </c>
      <c r="M87" s="9" t="str">
        <f t="shared" si="11"/>
        <v/>
      </c>
      <c r="N87" s="9"/>
      <c r="O87" s="9"/>
      <c r="P87" s="10"/>
      <c r="Q87" s="10"/>
      <c r="R87" s="10"/>
      <c r="S87" s="10"/>
    </row>
    <row r="88" spans="1:19" ht="19.5" customHeight="1" x14ac:dyDescent="0.25">
      <c r="A88" s="5"/>
      <c r="B88" s="5"/>
      <c r="C88" s="5"/>
      <c r="D88" s="6"/>
      <c r="E88" s="7"/>
      <c r="F88" s="7"/>
      <c r="G88" s="7"/>
      <c r="H88" s="7"/>
      <c r="I88" s="5"/>
      <c r="J88" s="7" t="str">
        <f t="shared" si="8"/>
        <v/>
      </c>
      <c r="K88" s="7" t="str">
        <f t="shared" si="9"/>
        <v/>
      </c>
      <c r="L88" s="8" t="str">
        <f t="shared" si="10"/>
        <v/>
      </c>
      <c r="M88" s="5" t="str">
        <f t="shared" si="11"/>
        <v/>
      </c>
      <c r="N88" s="5"/>
      <c r="O88" s="5"/>
      <c r="P88" s="6"/>
      <c r="Q88" s="6"/>
      <c r="R88" s="6"/>
      <c r="S88" s="6"/>
    </row>
    <row r="89" spans="1:19" ht="19.5" customHeight="1" x14ac:dyDescent="0.25">
      <c r="A89" s="9"/>
      <c r="B89" s="9"/>
      <c r="C89" s="9"/>
      <c r="D89" s="10"/>
      <c r="E89" s="11"/>
      <c r="F89" s="11"/>
      <c r="G89" s="11"/>
      <c r="H89" s="11"/>
      <c r="I89" s="9"/>
      <c r="J89" s="11" t="str">
        <f t="shared" si="8"/>
        <v/>
      </c>
      <c r="K89" s="11" t="str">
        <f t="shared" si="9"/>
        <v/>
      </c>
      <c r="L89" s="12" t="str">
        <f t="shared" si="10"/>
        <v/>
      </c>
      <c r="M89" s="9" t="str">
        <f t="shared" si="11"/>
        <v/>
      </c>
      <c r="N89" s="9"/>
      <c r="O89" s="9"/>
      <c r="P89" s="10"/>
      <c r="Q89" s="10"/>
      <c r="R89" s="10"/>
      <c r="S89" s="10"/>
    </row>
    <row r="90" spans="1:19" ht="19.5" customHeight="1" x14ac:dyDescent="0.25">
      <c r="A90" s="5"/>
      <c r="B90" s="5"/>
      <c r="C90" s="5"/>
      <c r="D90" s="6"/>
      <c r="E90" s="7"/>
      <c r="F90" s="7"/>
      <c r="G90" s="7"/>
      <c r="H90" s="7"/>
      <c r="I90" s="5"/>
      <c r="J90" s="7" t="str">
        <f t="shared" si="8"/>
        <v/>
      </c>
      <c r="K90" s="7" t="str">
        <f t="shared" si="9"/>
        <v/>
      </c>
      <c r="L90" s="8" t="str">
        <f t="shared" si="10"/>
        <v/>
      </c>
      <c r="M90" s="5" t="str">
        <f t="shared" si="11"/>
        <v/>
      </c>
      <c r="N90" s="5"/>
      <c r="O90" s="5"/>
      <c r="P90" s="6"/>
      <c r="Q90" s="6"/>
      <c r="R90" s="6"/>
      <c r="S90" s="6"/>
    </row>
    <row r="91" spans="1:19" ht="19.5" customHeight="1" x14ac:dyDescent="0.25">
      <c r="A91" s="9"/>
      <c r="B91" s="9"/>
      <c r="C91" s="9"/>
      <c r="D91" s="10"/>
      <c r="E91" s="11"/>
      <c r="F91" s="11"/>
      <c r="G91" s="11"/>
      <c r="H91" s="11"/>
      <c r="I91" s="9"/>
      <c r="J91" s="11" t="str">
        <f t="shared" si="8"/>
        <v/>
      </c>
      <c r="K91" s="11" t="str">
        <f t="shared" si="9"/>
        <v/>
      </c>
      <c r="L91" s="12" t="str">
        <f t="shared" si="10"/>
        <v/>
      </c>
      <c r="M91" s="9" t="str">
        <f t="shared" si="11"/>
        <v/>
      </c>
      <c r="N91" s="9"/>
      <c r="O91" s="9"/>
      <c r="P91" s="10"/>
      <c r="Q91" s="10"/>
      <c r="R91" s="10"/>
      <c r="S91" s="10"/>
    </row>
    <row r="92" spans="1:19" ht="19.5" customHeight="1" x14ac:dyDescent="0.25">
      <c r="A92" s="5"/>
      <c r="B92" s="5"/>
      <c r="C92" s="5"/>
      <c r="D92" s="6"/>
      <c r="E92" s="7"/>
      <c r="F92" s="7"/>
      <c r="G92" s="7"/>
      <c r="H92" s="7"/>
      <c r="I92" s="5"/>
      <c r="J92" s="7" t="str">
        <f t="shared" si="8"/>
        <v/>
      </c>
      <c r="K92" s="7" t="str">
        <f t="shared" si="9"/>
        <v/>
      </c>
      <c r="L92" s="8" t="str">
        <f t="shared" si="10"/>
        <v/>
      </c>
      <c r="M92" s="5" t="str">
        <f t="shared" si="11"/>
        <v/>
      </c>
      <c r="N92" s="5"/>
      <c r="O92" s="5"/>
      <c r="P92" s="6"/>
      <c r="Q92" s="6"/>
      <c r="R92" s="6"/>
      <c r="S92" s="6"/>
    </row>
    <row r="93" spans="1:19" ht="19.5" customHeight="1" x14ac:dyDescent="0.25">
      <c r="A93" s="9"/>
      <c r="B93" s="9"/>
      <c r="C93" s="9"/>
      <c r="D93" s="10"/>
      <c r="E93" s="11"/>
      <c r="F93" s="11"/>
      <c r="G93" s="11"/>
      <c r="H93" s="11"/>
      <c r="I93" s="9"/>
      <c r="J93" s="11" t="str">
        <f t="shared" si="8"/>
        <v/>
      </c>
      <c r="K93" s="11" t="str">
        <f t="shared" si="9"/>
        <v/>
      </c>
      <c r="L93" s="12" t="str">
        <f t="shared" si="10"/>
        <v/>
      </c>
      <c r="M93" s="9" t="str">
        <f t="shared" si="11"/>
        <v/>
      </c>
      <c r="N93" s="9"/>
      <c r="O93" s="9"/>
      <c r="P93" s="10"/>
      <c r="Q93" s="10"/>
      <c r="R93" s="10"/>
      <c r="S93" s="10"/>
    </row>
    <row r="94" spans="1:19" ht="19.5" customHeight="1" x14ac:dyDescent="0.25">
      <c r="A94" s="5"/>
      <c r="B94" s="5"/>
      <c r="C94" s="5"/>
      <c r="D94" s="6"/>
      <c r="E94" s="7"/>
      <c r="F94" s="7"/>
      <c r="G94" s="7"/>
      <c r="H94" s="7"/>
      <c r="I94" s="5"/>
      <c r="J94" s="7" t="str">
        <f t="shared" si="8"/>
        <v/>
      </c>
      <c r="K94" s="7" t="str">
        <f t="shared" si="9"/>
        <v/>
      </c>
      <c r="L94" s="8" t="str">
        <f t="shared" si="10"/>
        <v/>
      </c>
      <c r="M94" s="5" t="str">
        <f t="shared" si="11"/>
        <v/>
      </c>
      <c r="N94" s="5"/>
      <c r="O94" s="5"/>
      <c r="P94" s="6"/>
      <c r="Q94" s="6"/>
      <c r="R94" s="6"/>
      <c r="S94" s="6"/>
    </row>
    <row r="95" spans="1:19" ht="19.5" customHeight="1" x14ac:dyDescent="0.25">
      <c r="A95" s="9"/>
      <c r="B95" s="9"/>
      <c r="C95" s="9"/>
      <c r="D95" s="10"/>
      <c r="E95" s="11"/>
      <c r="F95" s="11"/>
      <c r="G95" s="11"/>
      <c r="H95" s="11"/>
      <c r="I95" s="9"/>
      <c r="J95" s="11" t="str">
        <f t="shared" si="8"/>
        <v/>
      </c>
      <c r="K95" s="11" t="str">
        <f t="shared" si="9"/>
        <v/>
      </c>
      <c r="L95" s="12" t="str">
        <f t="shared" si="10"/>
        <v/>
      </c>
      <c r="M95" s="9" t="str">
        <f t="shared" si="11"/>
        <v/>
      </c>
      <c r="N95" s="9"/>
      <c r="O95" s="9"/>
      <c r="P95" s="10"/>
      <c r="Q95" s="10"/>
      <c r="R95" s="10"/>
      <c r="S95" s="10"/>
    </row>
    <row r="96" spans="1:19" ht="19.5" customHeight="1" x14ac:dyDescent="0.25">
      <c r="A96" s="5"/>
      <c r="B96" s="5"/>
      <c r="C96" s="5"/>
      <c r="D96" s="6"/>
      <c r="E96" s="7"/>
      <c r="F96" s="7"/>
      <c r="G96" s="7"/>
      <c r="H96" s="7"/>
      <c r="I96" s="5"/>
      <c r="J96" s="7" t="str">
        <f t="shared" si="8"/>
        <v/>
      </c>
      <c r="K96" s="7" t="str">
        <f t="shared" si="9"/>
        <v/>
      </c>
      <c r="L96" s="8" t="str">
        <f t="shared" si="10"/>
        <v/>
      </c>
      <c r="M96" s="5" t="str">
        <f t="shared" si="11"/>
        <v/>
      </c>
      <c r="N96" s="5"/>
      <c r="O96" s="5"/>
      <c r="P96" s="6"/>
      <c r="Q96" s="6"/>
      <c r="R96" s="6"/>
      <c r="S96" s="6"/>
    </row>
    <row r="97" spans="1:19" ht="19.5" customHeight="1" x14ac:dyDescent="0.25">
      <c r="A97" s="9"/>
      <c r="B97" s="9"/>
      <c r="C97" s="9"/>
      <c r="D97" s="10"/>
      <c r="E97" s="11"/>
      <c r="F97" s="11"/>
      <c r="G97" s="11"/>
      <c r="H97" s="11"/>
      <c r="I97" s="9"/>
      <c r="J97" s="11" t="str">
        <f t="shared" si="8"/>
        <v/>
      </c>
      <c r="K97" s="11" t="str">
        <f t="shared" si="9"/>
        <v/>
      </c>
      <c r="L97" s="12" t="str">
        <f t="shared" si="10"/>
        <v/>
      </c>
      <c r="M97" s="9" t="str">
        <f t="shared" si="11"/>
        <v/>
      </c>
      <c r="N97" s="9"/>
      <c r="O97" s="9"/>
      <c r="P97" s="10"/>
      <c r="Q97" s="10"/>
      <c r="R97" s="10"/>
      <c r="S97" s="10"/>
    </row>
    <row r="98" spans="1:19" ht="19.5" customHeight="1" x14ac:dyDescent="0.25">
      <c r="A98" s="5"/>
      <c r="B98" s="5"/>
      <c r="C98" s="5"/>
      <c r="D98" s="6"/>
      <c r="E98" s="7"/>
      <c r="F98" s="7"/>
      <c r="G98" s="7"/>
      <c r="H98" s="7"/>
      <c r="I98" s="5"/>
      <c r="J98" s="7" t="str">
        <f t="shared" si="8"/>
        <v/>
      </c>
      <c r="K98" s="7" t="str">
        <f t="shared" si="9"/>
        <v/>
      </c>
      <c r="L98" s="8" t="str">
        <f t="shared" si="10"/>
        <v/>
      </c>
      <c r="M98" s="5" t="str">
        <f t="shared" si="11"/>
        <v/>
      </c>
      <c r="N98" s="5"/>
      <c r="O98" s="5"/>
      <c r="P98" s="6"/>
      <c r="Q98" s="6"/>
      <c r="R98" s="6"/>
      <c r="S98" s="6"/>
    </row>
    <row r="99" spans="1:19" ht="19.5" customHeight="1" x14ac:dyDescent="0.25">
      <c r="A99" s="9"/>
      <c r="B99" s="9"/>
      <c r="C99" s="9"/>
      <c r="D99" s="10"/>
      <c r="E99" s="11"/>
      <c r="F99" s="11"/>
      <c r="G99" s="11"/>
      <c r="H99" s="11"/>
      <c r="I99" s="9"/>
      <c r="J99" s="11" t="str">
        <f t="shared" si="8"/>
        <v/>
      </c>
      <c r="K99" s="11" t="str">
        <f t="shared" si="9"/>
        <v/>
      </c>
      <c r="L99" s="12" t="str">
        <f t="shared" si="10"/>
        <v/>
      </c>
      <c r="M99" s="9" t="str">
        <f t="shared" si="11"/>
        <v/>
      </c>
      <c r="N99" s="9"/>
      <c r="O99" s="9"/>
      <c r="P99" s="10"/>
      <c r="Q99" s="10"/>
      <c r="R99" s="10"/>
      <c r="S99" s="10"/>
    </row>
    <row r="100" spans="1:19" ht="19.5" customHeight="1" x14ac:dyDescent="0.25">
      <c r="A100" s="5"/>
      <c r="B100" s="5"/>
      <c r="C100" s="5"/>
      <c r="D100" s="6"/>
      <c r="E100" s="7"/>
      <c r="F100" s="7"/>
      <c r="G100" s="7"/>
      <c r="H100" s="7"/>
      <c r="I100" s="5"/>
      <c r="J100" s="7" t="str">
        <f t="shared" si="8"/>
        <v/>
      </c>
      <c r="K100" s="7" t="str">
        <f t="shared" si="9"/>
        <v/>
      </c>
      <c r="L100" s="8" t="str">
        <f t="shared" si="10"/>
        <v/>
      </c>
      <c r="M100" s="5" t="str">
        <f t="shared" si="11"/>
        <v/>
      </c>
      <c r="N100" s="5"/>
      <c r="O100" s="5"/>
      <c r="P100" s="6"/>
      <c r="Q100" s="6"/>
      <c r="R100" s="6"/>
      <c r="S100" s="6"/>
    </row>
    <row r="101" spans="1:19" ht="19.5" customHeight="1" x14ac:dyDescent="0.25">
      <c r="A101" s="9"/>
      <c r="B101" s="9"/>
      <c r="C101" s="9"/>
      <c r="D101" s="10"/>
      <c r="E101" s="11"/>
      <c r="F101" s="11"/>
      <c r="G101" s="11"/>
      <c r="H101" s="11"/>
      <c r="I101" s="9"/>
      <c r="J101" s="11" t="str">
        <f t="shared" si="8"/>
        <v/>
      </c>
      <c r="K101" s="11" t="str">
        <f t="shared" si="9"/>
        <v/>
      </c>
      <c r="L101" s="12" t="str">
        <f t="shared" si="10"/>
        <v/>
      </c>
      <c r="M101" s="9" t="str">
        <f t="shared" si="11"/>
        <v/>
      </c>
      <c r="N101" s="9"/>
      <c r="O101" s="9"/>
      <c r="P101" s="10"/>
      <c r="Q101" s="10"/>
      <c r="R101" s="10"/>
      <c r="S101" s="10"/>
    </row>
    <row r="102" spans="1:19" ht="19.5" customHeight="1" x14ac:dyDescent="0.25">
      <c r="A102" s="5"/>
      <c r="B102" s="5"/>
      <c r="C102" s="5"/>
      <c r="D102" s="6"/>
      <c r="E102" s="7"/>
      <c r="F102" s="7"/>
      <c r="G102" s="7"/>
      <c r="H102" s="7"/>
      <c r="I102" s="5"/>
      <c r="J102" s="7" t="str">
        <f t="shared" si="8"/>
        <v/>
      </c>
      <c r="K102" s="7" t="str">
        <f t="shared" si="9"/>
        <v/>
      </c>
      <c r="L102" s="8" t="str">
        <f t="shared" si="10"/>
        <v/>
      </c>
      <c r="M102" s="5" t="str">
        <f t="shared" si="11"/>
        <v/>
      </c>
      <c r="N102" s="5"/>
      <c r="O102" s="5"/>
      <c r="P102" s="6"/>
      <c r="Q102" s="6"/>
      <c r="R102" s="6"/>
      <c r="S102" s="6"/>
    </row>
    <row r="103" spans="1:19" ht="19.5" customHeight="1" x14ac:dyDescent="0.25">
      <c r="A103" s="9"/>
      <c r="B103" s="9"/>
      <c r="C103" s="9"/>
      <c r="D103" s="10"/>
      <c r="E103" s="11"/>
      <c r="F103" s="11"/>
      <c r="G103" s="11"/>
      <c r="H103" s="11"/>
      <c r="I103" s="9"/>
      <c r="J103" s="11" t="str">
        <f t="shared" ref="J103:J134" si="12">IF(E103="","",I103*(E103-F103))</f>
        <v/>
      </c>
      <c r="K103" s="11" t="str">
        <f t="shared" si="9"/>
        <v/>
      </c>
      <c r="L103" s="12" t="str">
        <f t="shared" si="10"/>
        <v/>
      </c>
      <c r="M103" s="9" t="str">
        <f t="shared" si="11"/>
        <v/>
      </c>
      <c r="N103" s="9"/>
      <c r="O103" s="9"/>
      <c r="P103" s="10"/>
      <c r="Q103" s="10"/>
      <c r="R103" s="10"/>
      <c r="S103" s="10"/>
    </row>
    <row r="104" spans="1:19" ht="19.5" customHeight="1" x14ac:dyDescent="0.25">
      <c r="A104" s="5"/>
      <c r="B104" s="5"/>
      <c r="C104" s="5"/>
      <c r="D104" s="6"/>
      <c r="E104" s="7"/>
      <c r="F104" s="7"/>
      <c r="G104" s="7"/>
      <c r="H104" s="7"/>
      <c r="I104" s="5"/>
      <c r="J104" s="7" t="str">
        <f t="shared" si="12"/>
        <v/>
      </c>
      <c r="K104" s="7" t="str">
        <f t="shared" si="9"/>
        <v/>
      </c>
      <c r="L104" s="8" t="str">
        <f t="shared" si="10"/>
        <v/>
      </c>
      <c r="M104" s="5" t="str">
        <f t="shared" si="11"/>
        <v/>
      </c>
      <c r="N104" s="5"/>
      <c r="O104" s="5"/>
      <c r="P104" s="6"/>
      <c r="Q104" s="6"/>
      <c r="R104" s="6"/>
      <c r="S104" s="6"/>
    </row>
    <row r="105" spans="1:19" ht="19.5" customHeight="1" x14ac:dyDescent="0.25">
      <c r="A105" s="9"/>
      <c r="B105" s="9"/>
      <c r="C105" s="9"/>
      <c r="D105" s="10"/>
      <c r="E105" s="11"/>
      <c r="F105" s="11"/>
      <c r="G105" s="11"/>
      <c r="H105" s="11"/>
      <c r="I105" s="9"/>
      <c r="J105" s="11" t="str">
        <f t="shared" si="12"/>
        <v/>
      </c>
      <c r="K105" s="11" t="str">
        <f t="shared" si="9"/>
        <v/>
      </c>
      <c r="L105" s="12" t="str">
        <f t="shared" si="10"/>
        <v/>
      </c>
      <c r="M105" s="9" t="str">
        <f t="shared" si="11"/>
        <v/>
      </c>
      <c r="N105" s="9"/>
      <c r="O105" s="9"/>
      <c r="P105" s="10"/>
      <c r="Q105" s="10"/>
      <c r="R105" s="10"/>
      <c r="S105" s="10"/>
    </row>
    <row r="106" spans="1:19" ht="19.5" customHeight="1" x14ac:dyDescent="0.25">
      <c r="A106" s="5"/>
      <c r="B106" s="5"/>
      <c r="C106" s="5"/>
      <c r="D106" s="6"/>
      <c r="E106" s="7"/>
      <c r="F106" s="7"/>
      <c r="G106" s="7"/>
      <c r="H106" s="7"/>
      <c r="I106" s="5"/>
      <c r="J106" s="7" t="str">
        <f t="shared" si="12"/>
        <v/>
      </c>
      <c r="K106" s="7" t="str">
        <f t="shared" si="9"/>
        <v/>
      </c>
      <c r="L106" s="8" t="str">
        <f t="shared" si="10"/>
        <v/>
      </c>
      <c r="M106" s="5" t="str">
        <f t="shared" si="11"/>
        <v/>
      </c>
      <c r="N106" s="5"/>
      <c r="O106" s="5"/>
      <c r="P106" s="6"/>
      <c r="Q106" s="6"/>
      <c r="R106" s="6"/>
      <c r="S106" s="6"/>
    </row>
  </sheetData>
  <mergeCells count="2">
    <mergeCell ref="A1:S1"/>
    <mergeCell ref="A2:S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22" customWidth="1"/>
    <col min="2" max="2" width="14" customWidth="1"/>
    <col min="3" max="3" width="3" customWidth="1"/>
    <col min="4" max="4" width="22" customWidth="1"/>
    <col min="5" max="5" width="14" customWidth="1"/>
    <col min="6" max="6" width="3" customWidth="1"/>
    <col min="7" max="7" width="22" customWidth="1"/>
    <col min="8" max="8" width="14" customWidth="1"/>
  </cols>
  <sheetData>
    <row r="1" spans="1:8" ht="33.75" customHeight="1" x14ac:dyDescent="0.25">
      <c r="A1" s="1" t="s">
        <v>47</v>
      </c>
      <c r="B1" s="1"/>
      <c r="C1" s="1"/>
      <c r="D1" s="1"/>
      <c r="E1" s="1"/>
      <c r="F1" s="1"/>
      <c r="G1" s="1"/>
      <c r="H1" s="1"/>
    </row>
    <row r="2" spans="1:8" ht="18" customHeight="1" x14ac:dyDescent="0.25">
      <c r="A2" s="2" t="s">
        <v>48</v>
      </c>
      <c r="B2" s="2"/>
      <c r="C2" s="2"/>
      <c r="D2" s="2"/>
      <c r="E2" s="2"/>
      <c r="F2" s="2"/>
      <c r="G2" s="2"/>
      <c r="H2" s="2"/>
    </row>
    <row r="3" spans="1:8" ht="27.75" customHeight="1" x14ac:dyDescent="0.25">
      <c r="A3" s="4" t="s">
        <v>49</v>
      </c>
      <c r="B3" s="4" t="s">
        <v>50</v>
      </c>
      <c r="C3" s="4"/>
      <c r="D3" s="4" t="s">
        <v>49</v>
      </c>
      <c r="E3" s="4" t="s">
        <v>50</v>
      </c>
      <c r="F3" s="4"/>
      <c r="G3" s="4" t="s">
        <v>49</v>
      </c>
      <c r="H3" s="4" t="s">
        <v>50</v>
      </c>
    </row>
    <row r="4" spans="1:8" ht="21.75" customHeight="1" x14ac:dyDescent="0.25">
      <c r="A4" s="13" t="s">
        <v>51</v>
      </c>
      <c r="B4" s="14">
        <f>COUNTA('Trade Log'!A4:A106)</f>
        <v>3</v>
      </c>
      <c r="D4" s="13" t="s">
        <v>52</v>
      </c>
      <c r="E4" s="15">
        <f>IFERROR(AVERAGEIF('Trade Log'!M4:M106,"WIN",'Trade Log'!L4:L106),"")</f>
        <v>1.8891941391941391</v>
      </c>
      <c r="G4" s="13" t="s">
        <v>53</v>
      </c>
      <c r="H4" s="14">
        <f>COUNTIFS('Trade Log'!D4:D106,"Bull Flag Breakout",'Trade Log'!M4:M106,"WIN")</f>
        <v>1</v>
      </c>
    </row>
    <row r="5" spans="1:8" ht="21.75" customHeight="1" x14ac:dyDescent="0.25">
      <c r="A5" s="16" t="s">
        <v>54</v>
      </c>
      <c r="B5" s="17">
        <f>COUNTIF('Trade Log'!M4:M106,"WIN")</f>
        <v>2</v>
      </c>
      <c r="D5" s="16" t="s">
        <v>55</v>
      </c>
      <c r="E5" s="18">
        <f>IFERROR(AVERAGEIF('Trade Log'!M4:M106,"LOSS",'Trade Log'!L4:L106),"")</f>
        <v>-1.0806451612903227</v>
      </c>
      <c r="G5" s="16" t="s">
        <v>56</v>
      </c>
      <c r="H5" s="17">
        <f>COUNTIFS('Trade Log'!D4:D106,"Bull Flag Breakout",'Trade Log'!M4:M106,"LOSS")</f>
        <v>0</v>
      </c>
    </row>
    <row r="6" spans="1:8" ht="21.75" customHeight="1" x14ac:dyDescent="0.25">
      <c r="A6" s="13" t="s">
        <v>57</v>
      </c>
      <c r="B6" s="14">
        <f>COUNTIF('Trade Log'!M4:M106,"LOSS")</f>
        <v>1</v>
      </c>
      <c r="D6" s="13" t="s">
        <v>58</v>
      </c>
      <c r="E6" s="19">
        <f>IFERROR(MAX('Trade Log'!K4:K106),"")</f>
        <v>305</v>
      </c>
      <c r="G6" s="13" t="s">
        <v>59</v>
      </c>
      <c r="H6" s="14">
        <f>COUNTIFS('Trade Log'!D4:D106,"Earnings Gap Fill",'Trade Log'!M4:M106,"WIN")</f>
        <v>0</v>
      </c>
    </row>
    <row r="7" spans="1:8" ht="21.75" customHeight="1" x14ac:dyDescent="0.25">
      <c r="A7" s="16" t="s">
        <v>60</v>
      </c>
      <c r="B7" s="20">
        <f>IF(B4=0,"",B5/B4)</f>
        <v>0.66666666666666663</v>
      </c>
      <c r="D7" s="16" t="s">
        <v>61</v>
      </c>
      <c r="E7" s="21">
        <f>IFERROR(MIN('Trade Log'!K4:K106),"")</f>
        <v>-100.49999999999983</v>
      </c>
      <c r="G7" s="16" t="s">
        <v>62</v>
      </c>
      <c r="H7" s="17">
        <f>COUNTIFS('Trade Log'!D4:D106,"Earnings Gap Fill",'Trade Log'!M4:M106,"LOSS")</f>
        <v>1</v>
      </c>
    </row>
    <row r="8" spans="1:8" ht="21.75" customHeight="1" x14ac:dyDescent="0.25">
      <c r="A8" s="13" t="s">
        <v>63</v>
      </c>
      <c r="B8" s="19">
        <f>IFERROR(SUM('Trade Log'!K4:K106),0)</f>
        <v>390.50000000000017</v>
      </c>
      <c r="D8" s="13" t="s">
        <v>64</v>
      </c>
      <c r="E8" s="15">
        <f>IFERROR(MAX('Trade Log'!L4:L106),"")</f>
        <v>2.2142857142857144</v>
      </c>
      <c r="G8" s="13" t="s">
        <v>65</v>
      </c>
      <c r="H8" s="14">
        <f>COUNTIFS('Trade Log'!D4:D106,"HTF Support Bounce",'Trade Log'!M4:M106,"WIN")</f>
        <v>1</v>
      </c>
    </row>
    <row r="9" spans="1:8" ht="21.75" customHeight="1" x14ac:dyDescent="0.25">
      <c r="A9" s="16" t="s">
        <v>66</v>
      </c>
      <c r="B9" s="21">
        <f>IF(B4=0,"",B8/B4)</f>
        <v>130.16666666666671</v>
      </c>
      <c r="D9" s="16" t="s">
        <v>67</v>
      </c>
      <c r="E9" s="18">
        <f>IFERROR(MIN('Trade Log'!L4:L106),"")</f>
        <v>-1.0806451612903227</v>
      </c>
      <c r="G9" s="16" t="s">
        <v>68</v>
      </c>
      <c r="H9" s="17">
        <f>COUNTIFS('Trade Log'!D4:D106,"HTF Support Bounce",'Trade Log'!M4:M106,"LOSS")</f>
        <v>0</v>
      </c>
    </row>
    <row r="10" spans="1:8" ht="21.75" customHeight="1" x14ac:dyDescent="0.25">
      <c r="A10" s="13" t="s">
        <v>69</v>
      </c>
      <c r="B10" s="19">
        <f>IFERROR(AVERAGEIF('Trade Log'!M4:M106,"WIN",'Trade Log'!K4:K106),0)</f>
        <v>245.5</v>
      </c>
      <c r="D10" s="13" t="s">
        <v>70</v>
      </c>
      <c r="E10" s="14">
        <f>COUNTIF('Trade Log'!C4:C106,"Long")</f>
        <v>3</v>
      </c>
      <c r="G10" s="13" t="s">
        <v>71</v>
      </c>
      <c r="H10" s="14">
        <f>COUNTIFS('Trade Log'!N4:N106,"Choppy",'Trade Log'!M4:M106,"WIN")</f>
        <v>0</v>
      </c>
    </row>
    <row r="11" spans="1:8" ht="21.75" customHeight="1" x14ac:dyDescent="0.25">
      <c r="A11" s="16" t="s">
        <v>72</v>
      </c>
      <c r="B11" s="21">
        <f>IFERROR(AVERAGEIF('Trade Log'!M4:M106,"LOSS",'Trade Log'!K4:K106),0)</f>
        <v>-100.49999999999983</v>
      </c>
      <c r="D11" s="16" t="s">
        <v>73</v>
      </c>
      <c r="E11" s="17">
        <f>COUNTIF('Trade Log'!C4:C106,"Short")</f>
        <v>0</v>
      </c>
      <c r="G11" s="16" t="s">
        <v>74</v>
      </c>
      <c r="H11" s="17">
        <f>COUNTIFS('Trade Log'!N4:N106,"Choppy",'Trade Log'!M4:M106,"LOSS")</f>
        <v>1</v>
      </c>
    </row>
    <row r="12" spans="1:8" ht="21.75" customHeight="1" x14ac:dyDescent="0.25">
      <c r="A12" s="13" t="s">
        <v>75</v>
      </c>
      <c r="B12" s="19">
        <f>IFERROR((B5/B4*B10)+(B6/B4*B11),"")</f>
        <v>130.16666666666671</v>
      </c>
      <c r="D12" s="13" t="s">
        <v>76</v>
      </c>
      <c r="E12" s="14">
        <f>COUNTIFS('Trade Log'!N4:N106,"Trending",'Trade Log'!M4:M106,"WIN")</f>
        <v>2</v>
      </c>
      <c r="G12" s="13" t="s">
        <v>77</v>
      </c>
      <c r="H12" s="14" t="str">
        <f>IF(B4&gt;=20,"✅ YES (20+ trades)","⚠️ Need "&amp;(20-B4)&amp;" more trades")</f>
        <v>⚠️ Need 17 more trades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Log</vt:lpstr>
      <vt:lpstr>Stats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 Reed</cp:lastModifiedBy>
  <cp:revision>0</cp:revision>
  <dcterms:created xsi:type="dcterms:W3CDTF">2026-04-07T17:24:07Z</dcterms:created>
  <dcterms:modified xsi:type="dcterms:W3CDTF">2026-04-08T15:35:42Z</dcterms:modified>
  <dc:language>en-US</dc:language>
</cp:coreProperties>
</file>